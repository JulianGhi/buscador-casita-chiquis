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iedades" sheetId="1" state="visible" r:id="rId3"/>
    <sheet name="Parámetros" sheetId="2" state="visible" r:id="rId4"/>
    <sheet name="Ref m²" sheetId="3" state="visible" r:id="rId5"/>
  </sheets>
  <definedNames>
    <definedName function="false" hidden="false" name="Credito" vbProcedure="false">Parámetros!$B$2</definedName>
    <definedName function="false" hidden="false" name="ListaBarrios" vbProcedure="false">'Ref m²'!$A$2:$A$50</definedName>
    <definedName function="false" hidden="false" name="MargenPct" vbProcedure="false">Parámetros!$B$4</definedName>
    <definedName function="false" hidden="false" name="Presupuesto" vbProcedure="false">Parámetros!$B$3</definedName>
    <definedName function="false" hidden="false" name="TablaRef" vbProcedure="false">'Ref m²'!$A$2:$D$50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<sst xmlns="http://schemas.openxmlformats.org/spreadsheetml/2006/main" count="286" uniqueCount="176">
  <si>
    <t xml:space="preserve">ID</t>
  </si>
  <si>
    <t xml:space="preserve">Status</t>
  </si>
  <si>
    <t xml:space="preserve">Online?</t>
  </si>
  <si>
    <t xml:space="preserve">Data?</t>
  </si>
  <si>
    <t xml:space="preserve">Dirección</t>
  </si>
  <si>
    <t xml:space="preserve">Barrio</t>
  </si>
  <si>
    <t xml:space="preserve">Precio</t>
  </si>
  <si>
    <t xml:space="preserve">m²c</t>
  </si>
  <si>
    <t xml:space="preserve">Amb</t>
  </si>
  <si>
    <t xml:space="preserve">Apto?</t>
  </si>
  <si>
    <t xml:space="preserve">Terraza</t>
  </si>
  <si>
    <t xml:space="preserve">$/m²</t>
  </si>
  <si>
    <t xml:space="preserve">Ref</t>
  </si>
  <si>
    <t xml:space="preserve">Eval</t>
  </si>
  <si>
    <t xml:space="preserve">TOTAL</t>
  </si>
  <si>
    <t xml:space="preserve">OK?</t>
  </si>
  <si>
    <t xml:space="preserve">Dif</t>
  </si>
  <si>
    <t xml:space="preserve">m²t</t>
  </si>
  <si>
    <t xml:space="preserve">Terr</t>
  </si>
  <si>
    <t xml:space="preserve">Exp</t>
  </si>
  <si>
    <t xml:space="preserve">Estado</t>
  </si>
  <si>
    <t xml:space="preserve">Luz</t>
  </si>
  <si>
    <t xml:space="preserve">10%</t>
  </si>
  <si>
    <t xml:space="preserve">Escr</t>
  </si>
  <si>
    <t xml:space="preserve">Sell</t>
  </si>
  <si>
    <t xml:space="preserve">Reg</t>
  </si>
  <si>
    <t xml:space="preserve">Inmob?</t>
  </si>
  <si>
    <t xml:space="preserve">ComInm</t>
  </si>
  <si>
    <t xml:space="preserve">Hip</t>
  </si>
  <si>
    <t xml:space="preserve">Cert</t>
  </si>
  <si>
    <t xml:space="preserve">Contacto</t>
  </si>
  <si>
    <t xml:space="preserve">Fecha</t>
  </si>
  <si>
    <t xml:space="preserve">L</t>
  </si>
  <si>
    <t xml:space="preserve">J</t>
  </si>
  <si>
    <t xml:space="preserve">Prom</t>
  </si>
  <si>
    <t xml:space="preserve">Notas</t>
  </si>
  <si>
    <t xml:space="preserve">Link</t>
  </si>
  <si>
    <t xml:space="preserve">Visitado</t>
  </si>
  <si>
    <t xml:space="preserve">✓ Online</t>
  </si>
  <si>
    <t xml:space="preserve">✓ Completa</t>
  </si>
  <si>
    <t xml:space="preserve">Av J B Alberdi 4600</t>
  </si>
  <si>
    <t xml:space="preserve">Parque Avellaneda</t>
  </si>
  <si>
    <t xml:space="preserve">Sí</t>
  </si>
  <si>
    <t xml:space="preserve">Propia</t>
  </si>
  <si>
    <t xml:space="preserve">Sin exp</t>
  </si>
  <si>
    <t xml:space="preserve">Bueno</t>
  </si>
  <si>
    <t xml:space="preserve">Buena</t>
  </si>
  <si>
    <t xml:space="preserve">GOLDEN HAUS</t>
  </si>
  <si>
    <t xml:space="preserve">26/8/25</t>
  </si>
  <si>
    <t xml:space="preserve">Visita 30/8. Pared vidrio, era oficina. Norte/Frente. 40 años. APTO CRÉDITO</t>
  </si>
  <si>
    <t xml:space="preserve">https://www.argenprop.com/ficha--17094976</t>
  </si>
  <si>
    <t xml:space="preserve">✗ Baja</t>
  </si>
  <si>
    <t xml:space="preserve">✗ Sin</t>
  </si>
  <si>
    <t xml:space="preserve">Lacarra 79</t>
  </si>
  <si>
    <t xml:space="preserve">Flores</t>
  </si>
  <si>
    <t xml:space="preserve">Remax</t>
  </si>
  <si>
    <t xml:space="preserve">11/9/25</t>
  </si>
  <si>
    <t xml:space="preserve">Visita 13/9. AVISO DADO DE BAJA (410)</t>
  </si>
  <si>
    <t xml:space="preserve">https://www.argenprop.com/ficha--18033917</t>
  </si>
  <si>
    <t xml:space="preserve">Donato Álvarez 980</t>
  </si>
  <si>
    <t xml:space="preserve">12/9/25</t>
  </si>
  <si>
    <t xml:space="preserve">Visita sáb 13:30. AVISO DADO DE BAJA (410)</t>
  </si>
  <si>
    <t xml:space="preserve">https://www.argenprop.com/ficha--18131826</t>
  </si>
  <si>
    <t xml:space="preserve">~ Parcial</t>
  </si>
  <si>
    <t xml:space="preserve">Ñanduti 1330</t>
  </si>
  <si>
    <t xml:space="preserve">Visita 16hs. 2 terrazas. AVISO DADO DE BAJA (404)</t>
  </si>
  <si>
    <t xml:space="preserve">https://estiloinmobiliarios.com/ad/nanduti-1300-venta-ph-3-amb-2-terrazas-sexpensas</t>
  </si>
  <si>
    <t xml:space="preserve">Por ver</t>
  </si>
  <si>
    <t xml:space="preserve">? MeLi</t>
  </si>
  <si>
    <t xml:space="preserve">PH Floresta 137m²</t>
  </si>
  <si>
    <t xml:space="preserve">Floresta</t>
  </si>
  <si>
    <t xml:space="preserve">14/9/25</t>
  </si>
  <si>
    <t xml:space="preserve">Terraza. Link MercadoLibre (no verificable)</t>
  </si>
  <si>
    <t xml:space="preserve">https://inmueble.mercadolibre.com.ar/MLA-1517366599</t>
  </si>
  <si>
    <t xml:space="preserve">Descartado</t>
  </si>
  <si>
    <t xml:space="preserve">? ZonaProp</t>
  </si>
  <si>
    <t xml:space="preserve">Casa Ituzaingó con pileta</t>
  </si>
  <si>
    <t xml:space="preserve">Pileta! Pero es PROVINCIA - descartado</t>
  </si>
  <si>
    <t xml:space="preserve">https://www.zonaprop.com.ar/propiedades/clasificado/veclcain-venta-casa-de-5-amb-con-pileta-en-ituzaingo-norte-55810068.html</t>
  </si>
  <si>
    <t xml:space="preserve">Viamonte 2274 Ituzaingó</t>
  </si>
  <si>
    <t xml:space="preserve">1 cuadra autopista. PROVINCIA - descartado</t>
  </si>
  <si>
    <t xml:space="preserve">https://www.zonaprop.com.ar/propiedades/clasificado/veclcain-viamonte-2274-chalet-5-ambientes-acepta-permutas!-57137394.html</t>
  </si>
  <si>
    <t xml:space="preserve">Depto 3 amb Floresta cochera</t>
  </si>
  <si>
    <t xml:space="preserve">13/10/25</t>
  </si>
  <si>
    <t xml:space="preserve">Con cochera, 2 baños, parece nuevo. Link MeLi</t>
  </si>
  <si>
    <t xml:space="preserve">https://departamento.mercadolibre.com.ar/MLA-1502944415</t>
  </si>
  <si>
    <t xml:space="preserve">Segurola 1700</t>
  </si>
  <si>
    <t xml:space="preserve">Monte Castro</t>
  </si>
  <si>
    <t xml:space="preserve">Regular</t>
  </si>
  <si>
    <t xml:space="preserve">15/10/25</t>
  </si>
  <si>
    <t xml:space="preserve">PB al fondo. 95 años. Apto crédito. Sin espacio aéreo. Datos de búsqueda Argenprop</t>
  </si>
  <si>
    <t xml:space="preserve">https://departamento.mercadolibre.com.ar/MLA-1513702911</t>
  </si>
  <si>
    <t xml:space="preserve">3 amb Floresta permuta</t>
  </si>
  <si>
    <t xml:space="preserve">Financia. Link MeLi</t>
  </si>
  <si>
    <t xml:space="preserve">https://departamento.mercadolibre.com.ar/MLA-1550156101</t>
  </si>
  <si>
    <t xml:space="preserve">3 amb Floresta apto crédito</t>
  </si>
  <si>
    <t xml:space="preserve">Link MeLi</t>
  </si>
  <si>
    <t xml:space="preserve">https://departamento.mercadolibre.com.ar/MLA-1510703457</t>
  </si>
  <si>
    <t xml:space="preserve">3 amb Monte Castro cochera</t>
  </si>
  <si>
    <t xml:space="preserve">16/10/25</t>
  </si>
  <si>
    <t xml:space="preserve">Con cochera. Link MeLi</t>
  </si>
  <si>
    <t xml:space="preserve">https://departamento.mercadolibre.com.ar/MLA-2213563272</t>
  </si>
  <si>
    <t xml:space="preserve">3 amb luminoso</t>
  </si>
  <si>
    <t xml:space="preserve">18/10/25</t>
  </si>
  <si>
    <t xml:space="preserve">Excelente estado, muy luminoso. SIN BARRIO. Link MeLi</t>
  </si>
  <si>
    <t xml:space="preserve">https://departamento.mercadolibre.com.ar/MLA-2018292164</t>
  </si>
  <si>
    <t xml:space="preserve">PH 4 amb Caballito patio</t>
  </si>
  <si>
    <t xml:space="preserve">Caballito</t>
  </si>
  <si>
    <t xml:space="preserve">Bajas</t>
  </si>
  <si>
    <t xml:space="preserve">Patio. Link MeLi</t>
  </si>
  <si>
    <t xml:space="preserve">https://inmueble.mercadolibre.com.ar/MLA-2436056552</t>
  </si>
  <si>
    <t xml:space="preserve">PH 3 amb Floresta reciclado</t>
  </si>
  <si>
    <t xml:space="preserve">Estrenar</t>
  </si>
  <si>
    <t xml:space="preserve">Reciclado a nuevo. Link MeLi</t>
  </si>
  <si>
    <t xml:space="preserve">https://inmueble.mercadolibre.com.ar/MLA-2200169540</t>
  </si>
  <si>
    <t xml:space="preserve">PH 4 amb Paternal terraza</t>
  </si>
  <si>
    <t xml:space="preserve">Paternal</t>
  </si>
  <si>
    <t xml:space="preserve">20/10/25</t>
  </si>
  <si>
    <t xml:space="preserve">Luminoso. Link MeLi</t>
  </si>
  <si>
    <t xml:space="preserve">https://inmueble.mercadolibre.com.ar/MLA-2434937926</t>
  </si>
  <si>
    <t xml:space="preserve">Linneo 2113 1°A</t>
  </si>
  <si>
    <t xml:space="preserve">No</t>
  </si>
  <si>
    <t xml:space="preserve">NO APTO CRÉDITO - Descartado. Balcón+terraza. 65 años. Datos del chat</t>
  </si>
  <si>
    <t xml:space="preserve">Gualeguaychú 985 1°B</t>
  </si>
  <si>
    <t xml:space="preserve">2 plantas. Terraza con parrilla. Entrada indep. Datos de búsqueda, SIN LINK EXACTO</t>
  </si>
  <si>
    <t xml:space="preserve">Túpac Amaru 1100</t>
  </si>
  <si>
    <t xml:space="preserve">22/10/25</t>
  </si>
  <si>
    <t xml:space="preserve">Visita vie 17:30. Patio+terraza+entrada indep. 44 años. Impecable. Datos de búsqueda</t>
  </si>
  <si>
    <t xml:space="preserve">https://inmueble.mercadolibre.com.ar/MLA-1563089355</t>
  </si>
  <si>
    <t xml:space="preserve">PH 3 amb Caballito</t>
  </si>
  <si>
    <t xml:space="preserve">27/10/25</t>
  </si>
  <si>
    <t xml:space="preserve">Visita mié 17:45. AVISO DADO DE BAJA (404)</t>
  </si>
  <si>
    <t xml:space="preserve">https://www.lapropiedades.com.ar/inmueble/ph-venta-3-ambientes-caballito-capital-federal-buenos-aires-lp776342</t>
  </si>
  <si>
    <t xml:space="preserve">✗ Sin link</t>
  </si>
  <si>
    <t xml:space="preserve">Av La Plata 425</t>
  </si>
  <si>
    <t xml:space="preserve">30/10/25</t>
  </si>
  <si>
    <t xml:space="preserve">Visita jue 17:30. SIN LINK - completar datos manualmente</t>
  </si>
  <si>
    <t xml:space="preserve">PH 3 amb Villa Crespo</t>
  </si>
  <si>
    <t xml:space="preserve">Villa Crespo</t>
  </si>
  <si>
    <t xml:space="preserve">14/11/25</t>
  </si>
  <si>
    <t xml:space="preserve">https://inmueble.mercadolibre.com.ar/MLA-1582434975</t>
  </si>
  <si>
    <t xml:space="preserve">Parámetro</t>
  </si>
  <si>
    <t xml:space="preserve">Valor</t>
  </si>
  <si>
    <t xml:space="preserve">Crédito (USD)</t>
  </si>
  <si>
    <t xml:space="preserve">Banco Nación</t>
  </si>
  <si>
    <t xml:space="preserve">Presupuesto (USD)</t>
  </si>
  <si>
    <t xml:space="preserve">Tu bolsillo</t>
  </si>
  <si>
    <t xml:space="preserve">Margen m²</t>
  </si>
  <si>
    <t xml:space="preserve">±12%</t>
  </si>
  <si>
    <t xml:space="preserve">Escribano</t>
  </si>
  <si>
    <t xml:space="preserve">2%</t>
  </si>
  <si>
    <t xml:space="preserve">IVA escr</t>
  </si>
  <si>
    <t xml:space="preserve">21%</t>
  </si>
  <si>
    <t xml:space="preserve">Sellos exento hasta</t>
  </si>
  <si>
    <t xml:space="preserve">Vivienda única</t>
  </si>
  <si>
    <t xml:space="preserve">Registrales</t>
  </si>
  <si>
    <t xml:space="preserve">0.4%</t>
  </si>
  <si>
    <t xml:space="preserve">Inmobiliaria</t>
  </si>
  <si>
    <t xml:space="preserve">4%</t>
  </si>
  <si>
    <t xml:space="preserve">IVA inmob</t>
  </si>
  <si>
    <t xml:space="preserve">Hipoteca escr</t>
  </si>
  <si>
    <t xml:space="preserve">1%</t>
  </si>
  <si>
    <t xml:space="preserve">Certificados</t>
  </si>
  <si>
    <t xml:space="preserve">Fijo</t>
  </si>
  <si>
    <t xml:space="preserve">Versión</t>
  </si>
  <si>
    <t xml:space="preserve">3.0</t>
  </si>
  <si>
    <t xml:space="preserve">Reorganizada</t>
  </si>
  <si>
    <t xml:space="preserve">Index</t>
  </si>
  <si>
    <t xml:space="preserve">Parque Chacabuco</t>
  </si>
  <si>
    <t xml:space="preserve">Liniers</t>
  </si>
  <si>
    <t xml:space="preserve">Villa Luro</t>
  </si>
  <si>
    <t xml:space="preserve">Vélez Sarsfield</t>
  </si>
  <si>
    <t xml:space="preserve">Mataderos</t>
  </si>
  <si>
    <t xml:space="preserve">Villa del Parque</t>
  </si>
  <si>
    <t xml:space="preserve">Villa Devoto</t>
  </si>
  <si>
    <t xml:space="preserve">Boedo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</si>
</sst>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\$#,##0"/>
    <numFmt numFmtId="168" formatCode="\+#,##0;[RED]\-#,##0;0"/>
    <numFmt numFmtId="169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7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7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2F2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25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4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7"/>
    <col collapsed="false" customWidth="true" hidden="false" outlineLevel="0" max="14" min="14" style="0" width="6"/>
    <col collapsed="false" customWidth="true" hidden="false" outlineLevel="0" max="15" min="15" style="0" width="9"/>
    <col collapsed="false" customWidth="true" hidden="false" outlineLevel="0" max="16" min="16" style="0" width="5"/>
    <col collapsed="false" customWidth="true" hidden="false" outlineLevel="0" max="17" min="17" style="0" width="8"/>
    <col collapsed="false" customWidth="true" hidden="false" outlineLevel="0" max="18" min="18" style="0" width="6"/>
    <col collapsed="false" customWidth="true" hidden="false" outlineLevel="0" max="19" min="19" style="0" width="5"/>
    <col collapsed="false" customWidth="true" hidden="false" outlineLevel="0" max="21" min="20" style="0" width="9"/>
    <col collapsed="false" customWidth="true" hidden="false" outlineLevel="0" max="23" min="22" style="0" width="8"/>
    <col collapsed="false" customWidth="true" hidden="false" outlineLevel="0" max="24" min="24" style="0" width="7"/>
    <col collapsed="false" customWidth="true" hidden="false" outlineLevel="0" max="26" min="25" style="0" width="6"/>
    <col collapsed="false" customWidth="true" hidden="false" outlineLevel="0" max="27" min="27" style="0" width="7"/>
    <col collapsed="false" customWidth="true" hidden="false" outlineLevel="0" max="28" min="28" style="0" width="8"/>
    <col collapsed="false" customWidth="true" hidden="false" outlineLevel="0" max="29" min="29" style="0" width="7"/>
    <col collapsed="false" customWidth="true" hidden="false" outlineLevel="0" max="30" min="30" style="0" width="6"/>
    <col collapsed="false" customWidth="true" hidden="false" outlineLevel="0" max="31" min="31" style="0" width="12"/>
    <col collapsed="false" customWidth="true" hidden="false" outlineLevel="0" max="32" min="32" style="0" width="10"/>
    <col collapsed="false" customWidth="true" hidden="false" outlineLevel="0" max="34" min="33" style="0" width="4"/>
    <col collapsed="false" customWidth="true" hidden="false" outlineLevel="0" max="35" min="35" style="0" width="5"/>
    <col collapsed="false" customWidth="true" hidden="false" outlineLevel="0" max="36" min="36" style="0" width="35"/>
    <col collapsed="false" customWidth="true" hidden="false" outlineLevel="0" max="37" min="37" style="0" width="40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customFormat="false" ht="15" hidden="false" customHeight="false" outlineLevel="0" collapsed="false">
      <c r="A2" s="2" t="n">
        <f aca="false">IF(E2&lt;&gt;"",ROW()-1,"")</f>
        <v>1</v>
      </c>
      <c r="B2" s="3" t="s">
        <v>37</v>
      </c>
      <c r="C2" s="3" t="s">
        <v>38</v>
      </c>
      <c r="D2" s="3" t="s">
        <v>39</v>
      </c>
      <c r="E2" s="4" t="s">
        <v>40</v>
      </c>
      <c r="F2" s="4" t="s">
        <v>41</v>
      </c>
      <c r="G2" s="5" t="n">
        <v>105000</v>
      </c>
      <c r="H2" s="4" t="n">
        <v>70</v>
      </c>
      <c r="I2" s="4" t="n">
        <v>3</v>
      </c>
      <c r="J2" s="4" t="s">
        <v>42</v>
      </c>
      <c r="K2" s="4" t="s">
        <v>43</v>
      </c>
      <c r="L2" s="6" t="n">
        <f aca="false">IF(AND(G2&lt;&gt;"",H2&gt;0),ROUND(G2/H2,0),"")</f>
        <v>1500</v>
      </c>
      <c r="M2" s="6" t="n">
        <f aca="false">IF(F2&lt;&gt;"",IFERROR(VLOOKUP(F2,TablaRef,2,FALSE()),"?"),"")</f>
        <v>1750</v>
      </c>
      <c r="N2" s="7" t="str">
        <f aca="false">IF(AND(L2&lt;&gt;"",M2&lt;&gt;"",ISNUMBER(M2)),IF(L2&lt;M2*(1-MargenPct),"🟢",IF(L2&gt;M2*(1+MargenPct),"🔴","🟡")),"")</f>
        <v>🟢</v>
      </c>
      <c r="O2" s="8" t="n">
        <f aca="false">IF(G2&lt;&gt;"",W2+X2+Y2+Z2+AB2+AC2+AD2,"")</f>
        <v>28393</v>
      </c>
      <c r="P2" s="9" t="str">
        <f aca="false">IF(G2&lt;&gt;"",IF(O2&lt;=Presupuesto,"✓","✗"),"")</f>
        <v>✗</v>
      </c>
      <c r="Q2" s="10" t="n">
        <f aca="false">IF(G2&lt;&gt;"",Presupuesto-O2,"")</f>
        <v>-3393</v>
      </c>
      <c r="R2" s="11" t="n">
        <v>140</v>
      </c>
      <c r="S2" s="11" t="n">
        <v>70</v>
      </c>
      <c r="T2" s="12" t="s">
        <v>44</v>
      </c>
      <c r="U2" s="12" t="s">
        <v>45</v>
      </c>
      <c r="V2" s="11" t="s">
        <v>46</v>
      </c>
      <c r="W2" s="13" t="n">
        <f aca="false">IF(G2&lt;&gt;"",MAX(G2-Credito,G2*0.1),"")</f>
        <v>19000</v>
      </c>
      <c r="X2" s="13" t="n">
        <f aca="false">IF(G2&lt;&gt;"",ROUND(G2*0.02*1.21,0),"")</f>
        <v>2541</v>
      </c>
      <c r="Y2" s="13" t="n">
        <f aca="false">IF(G2&lt;&gt;"",IF(G2&lt;=140000,0,ROUND(G2*0.0175,0)),"")</f>
        <v>0</v>
      </c>
      <c r="Z2" s="13" t="n">
        <f aca="false">IF(G2&lt;&gt;"",ROUND(G2*0.004,0),"")</f>
        <v>420</v>
      </c>
      <c r="AA2" s="14" t="s">
        <v>42</v>
      </c>
      <c r="AB2" s="13" t="n">
        <f aca="false">IF(G2&lt;&gt;"",IF(AA2="Sí",ROUND(G2*0.04*1.21,0),0),"")</f>
        <v>5082</v>
      </c>
      <c r="AC2" s="13" t="n">
        <f aca="false">IF(G2&lt;&gt;"",ROUND(G2*0.01,0),"")</f>
        <v>1050</v>
      </c>
      <c r="AD2" s="13" t="n">
        <f aca="false">IF(G2&lt;&gt;"",300,"")</f>
        <v>300</v>
      </c>
      <c r="AE2" s="15" t="s">
        <v>47</v>
      </c>
      <c r="AF2" s="15" t="s">
        <v>48</v>
      </c>
      <c r="AG2" s="16"/>
      <c r="AH2" s="16"/>
      <c r="AI2" s="17" t="str">
        <f aca="false">IF(AND(AG2&lt;&gt;"",AH2&lt;&gt;""),(AG2+AH2)/2,"")</f>
        <v/>
      </c>
      <c r="AJ2" s="15" t="s">
        <v>49</v>
      </c>
      <c r="AK2" s="15" t="s">
        <v>50</v>
      </c>
    </row>
    <row r="3" customFormat="false" ht="15" hidden="false" customHeight="false" outlineLevel="0" collapsed="false">
      <c r="A3" s="2" t="n">
        <f aca="false">IF(E3&lt;&gt;"",ROW()-1,"")</f>
        <v>2</v>
      </c>
      <c r="B3" s="3" t="s">
        <v>37</v>
      </c>
      <c r="C3" s="3" t="s">
        <v>51</v>
      </c>
      <c r="D3" s="3" t="s">
        <v>52</v>
      </c>
      <c r="E3" s="4" t="s">
        <v>53</v>
      </c>
      <c r="F3" s="4" t="s">
        <v>54</v>
      </c>
      <c r="G3" s="5"/>
      <c r="H3" s="4"/>
      <c r="I3" s="4"/>
      <c r="J3" s="4"/>
      <c r="K3" s="4"/>
      <c r="L3" s="6" t="str">
        <f aca="false">IF(AND(G3&lt;&gt;"",H3&gt;0),ROUND(G3/H3,0),"")</f>
        <v/>
      </c>
      <c r="M3" s="6" t="n">
        <f aca="false">IF(F3&lt;&gt;"",IFERROR(VLOOKUP(F3,TablaRef,2,FALSE()),"?"),"")</f>
        <v>1953</v>
      </c>
      <c r="N3" s="7" t="str">
        <f aca="false">IF(AND(L3&lt;&gt;"",M3&lt;&gt;"",ISNUMBER(M3)),IF(L3&lt;M3*(1-MargenPct),"🟢",IF(L3&gt;M3*(1+MargenPct),"🔴","🟡")),"")</f>
        <v/>
      </c>
      <c r="O3" s="8" t="str">
        <f aca="false">IF(G3&lt;&gt;"",W3+X3+Y3+Z3+AB3+AC3+AD3,"")</f>
        <v/>
      </c>
      <c r="P3" s="9" t="str">
        <f aca="false">IF(G3&lt;&gt;"",IF(O3&lt;=Presupuesto,"✓","✗"),"")</f>
        <v/>
      </c>
      <c r="Q3" s="10" t="str">
        <f aca="false">IF(G3&lt;&gt;"",Presupuesto-O3,"")</f>
        <v/>
      </c>
      <c r="R3" s="11"/>
      <c r="S3" s="11"/>
      <c r="T3" s="12"/>
      <c r="U3" s="12"/>
      <c r="V3" s="11"/>
      <c r="W3" s="13" t="str">
        <f aca="false">IF(G3&lt;&gt;"",MAX(G3-Credito,G3*0.1),"")</f>
        <v/>
      </c>
      <c r="X3" s="13" t="str">
        <f aca="false">IF(G3&lt;&gt;"",ROUND(G3*0.02*1.21,0),"")</f>
        <v/>
      </c>
      <c r="Y3" s="13" t="str">
        <f aca="false">IF(G3&lt;&gt;"",IF(G3&lt;=140000,0,ROUND(G3*0.0175,0)),"")</f>
        <v/>
      </c>
      <c r="Z3" s="13" t="str">
        <f aca="false">IF(G3&lt;&gt;"",ROUND(G3*0.004,0),"")</f>
        <v/>
      </c>
      <c r="AA3" s="14" t="s">
        <v>42</v>
      </c>
      <c r="AB3" s="13" t="str">
        <f aca="false">IF(G3&lt;&gt;"",IF(AA3="Sí",ROUND(G3*0.04*1.21,0),0),"")</f>
        <v/>
      </c>
      <c r="AC3" s="13" t="str">
        <f aca="false">IF(G3&lt;&gt;"",ROUND(G3*0.01,0),"")</f>
        <v/>
      </c>
      <c r="AD3" s="13" t="str">
        <f aca="false">IF(G3&lt;&gt;"",300,"")</f>
        <v/>
      </c>
      <c r="AE3" s="15" t="s">
        <v>55</v>
      </c>
      <c r="AF3" s="15" t="s">
        <v>56</v>
      </c>
      <c r="AG3" s="16"/>
      <c r="AH3" s="16"/>
      <c r="AI3" s="17" t="str">
        <f aca="false">IF(AND(AG3&lt;&gt;"",AH3&lt;&gt;""),(AG3+AH3)/2,"")</f>
        <v/>
      </c>
      <c r="AJ3" s="15" t="s">
        <v>57</v>
      </c>
      <c r="AK3" s="15" t="s">
        <v>58</v>
      </c>
    </row>
    <row r="4" customFormat="false" ht="15" hidden="false" customHeight="false" outlineLevel="0" collapsed="false">
      <c r="A4" s="2" t="n">
        <f aca="false">IF(E4&lt;&gt;"",ROW()-1,"")</f>
        <v>3</v>
      </c>
      <c r="B4" s="3" t="s">
        <v>37</v>
      </c>
      <c r="C4" s="3" t="s">
        <v>51</v>
      </c>
      <c r="D4" s="3" t="s">
        <v>52</v>
      </c>
      <c r="E4" s="4" t="s">
        <v>59</v>
      </c>
      <c r="F4" s="4"/>
      <c r="G4" s="5"/>
      <c r="H4" s="4"/>
      <c r="I4" s="4"/>
      <c r="J4" s="4"/>
      <c r="K4" s="4"/>
      <c r="L4" s="6" t="str">
        <f aca="false">IF(AND(G4&lt;&gt;"",H4&gt;0),ROUND(G4/H4,0),"")</f>
        <v/>
      </c>
      <c r="M4" s="6" t="str">
        <f aca="false">IF(F4&lt;&gt;"",IFERROR(VLOOKUP(F4,TablaRef,2,FALSE()),"?"),"")</f>
        <v/>
      </c>
      <c r="N4" s="7" t="str">
        <f aca="false">IF(AND(L4&lt;&gt;"",M4&lt;&gt;"",ISNUMBER(M4)),IF(L4&lt;M4*(1-MargenPct),"🟢",IF(L4&gt;M4*(1+MargenPct),"🔴","🟡")),"")</f>
        <v/>
      </c>
      <c r="O4" s="8" t="str">
        <f aca="false">IF(G4&lt;&gt;"",W4+X4+Y4+Z4+AB4+AC4+AD4,"")</f>
        <v/>
      </c>
      <c r="P4" s="9" t="str">
        <f aca="false">IF(G4&lt;&gt;"",IF(O4&lt;=Presupuesto,"✓","✗"),"")</f>
        <v/>
      </c>
      <c r="Q4" s="10" t="str">
        <f aca="false">IF(G4&lt;&gt;"",Presupuesto-O4,"")</f>
        <v/>
      </c>
      <c r="R4" s="11"/>
      <c r="S4" s="11"/>
      <c r="T4" s="12"/>
      <c r="U4" s="12"/>
      <c r="V4" s="11"/>
      <c r="W4" s="13" t="str">
        <f aca="false">IF(G4&lt;&gt;"",MAX(G4-Credito,G4*0.1),"")</f>
        <v/>
      </c>
      <c r="X4" s="13" t="str">
        <f aca="false">IF(G4&lt;&gt;"",ROUND(G4*0.02*1.21,0),"")</f>
        <v/>
      </c>
      <c r="Y4" s="13" t="str">
        <f aca="false">IF(G4&lt;&gt;"",IF(G4&lt;=140000,0,ROUND(G4*0.0175,0)),"")</f>
        <v/>
      </c>
      <c r="Z4" s="13" t="str">
        <f aca="false">IF(G4&lt;&gt;"",ROUND(G4*0.004,0),"")</f>
        <v/>
      </c>
      <c r="AA4" s="14" t="s">
        <v>42</v>
      </c>
      <c r="AB4" s="13" t="str">
        <f aca="false">IF(G4&lt;&gt;"",IF(AA4="Sí",ROUND(G4*0.04*1.21,0),0),"")</f>
        <v/>
      </c>
      <c r="AC4" s="13" t="str">
        <f aca="false">IF(G4&lt;&gt;"",ROUND(G4*0.01,0),"")</f>
        <v/>
      </c>
      <c r="AD4" s="13" t="str">
        <f aca="false">IF(G4&lt;&gt;"",300,"")</f>
        <v/>
      </c>
      <c r="AE4" s="15"/>
      <c r="AF4" s="15" t="s">
        <v>60</v>
      </c>
      <c r="AG4" s="16"/>
      <c r="AH4" s="16"/>
      <c r="AI4" s="17" t="str">
        <f aca="false">IF(AND(AG4&lt;&gt;"",AH4&lt;&gt;""),(AG4+AH4)/2,"")</f>
        <v/>
      </c>
      <c r="AJ4" s="15" t="s">
        <v>61</v>
      </c>
      <c r="AK4" s="15" t="s">
        <v>62</v>
      </c>
    </row>
    <row r="5" customFormat="false" ht="15" hidden="false" customHeight="false" outlineLevel="0" collapsed="false">
      <c r="A5" s="2" t="n">
        <f aca="false">IF(E5&lt;&gt;"",ROW()-1,"")</f>
        <v>4</v>
      </c>
      <c r="B5" s="3" t="s">
        <v>37</v>
      </c>
      <c r="C5" s="3" t="s">
        <v>51</v>
      </c>
      <c r="D5" s="3" t="s">
        <v>63</v>
      </c>
      <c r="E5" s="4" t="s">
        <v>64</v>
      </c>
      <c r="F5" s="4"/>
      <c r="G5" s="5"/>
      <c r="H5" s="4"/>
      <c r="I5" s="4" t="n">
        <v>3</v>
      </c>
      <c r="J5" s="4"/>
      <c r="K5" s="4" t="s">
        <v>43</v>
      </c>
      <c r="L5" s="6" t="str">
        <f aca="false">IF(AND(G5&lt;&gt;"",H5&gt;0),ROUND(G5/H5,0),"")</f>
        <v/>
      </c>
      <c r="M5" s="6" t="str">
        <f aca="false">IF(F5&lt;&gt;"",IFERROR(VLOOKUP(F5,TablaRef,2,FALSE()),"?"),"")</f>
        <v/>
      </c>
      <c r="N5" s="7" t="str">
        <f aca="false">IF(AND(L5&lt;&gt;"",M5&lt;&gt;"",ISNUMBER(M5)),IF(L5&lt;M5*(1-MargenPct),"🟢",IF(L5&gt;M5*(1+MargenPct),"🔴","🟡")),"")</f>
        <v/>
      </c>
      <c r="O5" s="8" t="str">
        <f aca="false">IF(G5&lt;&gt;"",W5+X5+Y5+Z5+AB5+AC5+AD5,"")</f>
        <v/>
      </c>
      <c r="P5" s="9" t="str">
        <f aca="false">IF(G5&lt;&gt;"",IF(O5&lt;=Presupuesto,"✓","✗"),"")</f>
        <v/>
      </c>
      <c r="Q5" s="10" t="str">
        <f aca="false">IF(G5&lt;&gt;"",Presupuesto-O5,"")</f>
        <v/>
      </c>
      <c r="R5" s="11"/>
      <c r="S5" s="11"/>
      <c r="T5" s="12" t="s">
        <v>44</v>
      </c>
      <c r="U5" s="12"/>
      <c r="V5" s="11"/>
      <c r="W5" s="13" t="str">
        <f aca="false">IF(G5&lt;&gt;"",MAX(G5-Credito,G5*0.1),"")</f>
        <v/>
      </c>
      <c r="X5" s="13" t="str">
        <f aca="false">IF(G5&lt;&gt;"",ROUND(G5*0.02*1.21,0),"")</f>
        <v/>
      </c>
      <c r="Y5" s="13" t="str">
        <f aca="false">IF(G5&lt;&gt;"",IF(G5&lt;=140000,0,ROUND(G5*0.0175,0)),"")</f>
        <v/>
      </c>
      <c r="Z5" s="13" t="str">
        <f aca="false">IF(G5&lt;&gt;"",ROUND(G5*0.004,0),"")</f>
        <v/>
      </c>
      <c r="AA5" s="14" t="s">
        <v>42</v>
      </c>
      <c r="AB5" s="13" t="str">
        <f aca="false">IF(G5&lt;&gt;"",IF(AA5="Sí",ROUND(G5*0.04*1.21,0),0),"")</f>
        <v/>
      </c>
      <c r="AC5" s="13" t="str">
        <f aca="false">IF(G5&lt;&gt;"",ROUND(G5*0.01,0),"")</f>
        <v/>
      </c>
      <c r="AD5" s="13" t="str">
        <f aca="false">IF(G5&lt;&gt;"",300,"")</f>
        <v/>
      </c>
      <c r="AE5" s="15"/>
      <c r="AF5" s="15" t="s">
        <v>60</v>
      </c>
      <c r="AG5" s="16"/>
      <c r="AH5" s="16"/>
      <c r="AI5" s="17" t="str">
        <f aca="false">IF(AND(AG5&lt;&gt;"",AH5&lt;&gt;""),(AG5+AH5)/2,"")</f>
        <v/>
      </c>
      <c r="AJ5" s="15" t="s">
        <v>65</v>
      </c>
      <c r="AK5" s="15" t="s">
        <v>66</v>
      </c>
    </row>
    <row r="6" customFormat="false" ht="15" hidden="false" customHeight="false" outlineLevel="0" collapsed="false">
      <c r="A6" s="2" t="n">
        <f aca="false">IF(E6&lt;&gt;"",ROW()-1,"")</f>
        <v>5</v>
      </c>
      <c r="B6" s="3" t="s">
        <v>67</v>
      </c>
      <c r="C6" s="3" t="s">
        <v>68</v>
      </c>
      <c r="D6" s="3" t="s">
        <v>63</v>
      </c>
      <c r="E6" s="4" t="s">
        <v>69</v>
      </c>
      <c r="F6" s="4" t="s">
        <v>70</v>
      </c>
      <c r="G6" s="5"/>
      <c r="H6" s="4"/>
      <c r="I6" s="4" t="n">
        <v>4</v>
      </c>
      <c r="J6" s="4"/>
      <c r="K6" s="4" t="s">
        <v>43</v>
      </c>
      <c r="L6" s="6" t="str">
        <f aca="false">IF(AND(G6&lt;&gt;"",H6&gt;0),ROUND(G6/H6,0),"")</f>
        <v/>
      </c>
      <c r="M6" s="6" t="n">
        <f aca="false">IF(F6&lt;&gt;"",IFERROR(VLOOKUP(F6,TablaRef,2,FALSE()),"?"),"")</f>
        <v>1683</v>
      </c>
      <c r="N6" s="7" t="str">
        <f aca="false">IF(AND(L6&lt;&gt;"",M6&lt;&gt;"",ISNUMBER(M6)),IF(L6&lt;M6*(1-MargenPct),"🟢",IF(L6&gt;M6*(1+MargenPct),"🔴","🟡")),"")</f>
        <v/>
      </c>
      <c r="O6" s="8" t="str">
        <f aca="false">IF(G6&lt;&gt;"",W6+X6+Y6+Z6+AB6+AC6+AD6,"")</f>
        <v/>
      </c>
      <c r="P6" s="9" t="str">
        <f aca="false">IF(G6&lt;&gt;"",IF(O6&lt;=Presupuesto,"✓","✗"),"")</f>
        <v/>
      </c>
      <c r="Q6" s="10" t="str">
        <f aca="false">IF(G6&lt;&gt;"",Presupuesto-O6,"")</f>
        <v/>
      </c>
      <c r="R6" s="11" t="n">
        <v>137</v>
      </c>
      <c r="S6" s="11"/>
      <c r="T6" s="12" t="s">
        <v>44</v>
      </c>
      <c r="U6" s="12"/>
      <c r="V6" s="11"/>
      <c r="W6" s="13" t="str">
        <f aca="false">IF(G6&lt;&gt;"",MAX(G6-Credito,G6*0.1),"")</f>
        <v/>
      </c>
      <c r="X6" s="13" t="str">
        <f aca="false">IF(G6&lt;&gt;"",ROUND(G6*0.02*1.21,0),"")</f>
        <v/>
      </c>
      <c r="Y6" s="13" t="str">
        <f aca="false">IF(G6&lt;&gt;"",IF(G6&lt;=140000,0,ROUND(G6*0.0175,0)),"")</f>
        <v/>
      </c>
      <c r="Z6" s="13" t="str">
        <f aca="false">IF(G6&lt;&gt;"",ROUND(G6*0.004,0),"")</f>
        <v/>
      </c>
      <c r="AA6" s="14"/>
      <c r="AB6" s="13" t="str">
        <f aca="false">IF(G6&lt;&gt;"",IF(AA6="Sí",ROUND(G6*0.04*1.21,0),0),"")</f>
        <v/>
      </c>
      <c r="AC6" s="13" t="str">
        <f aca="false">IF(G6&lt;&gt;"",ROUND(G6*0.01,0),"")</f>
        <v/>
      </c>
      <c r="AD6" s="13" t="str">
        <f aca="false">IF(G6&lt;&gt;"",300,"")</f>
        <v/>
      </c>
      <c r="AE6" s="15"/>
      <c r="AF6" s="15" t="s">
        <v>71</v>
      </c>
      <c r="AG6" s="16"/>
      <c r="AH6" s="16"/>
      <c r="AI6" s="17" t="str">
        <f aca="false">IF(AND(AG6&lt;&gt;"",AH6&lt;&gt;""),(AG6+AH6)/2,"")</f>
        <v/>
      </c>
      <c r="AJ6" s="15" t="s">
        <v>72</v>
      </c>
      <c r="AK6" s="15" t="s">
        <v>73</v>
      </c>
    </row>
    <row r="7" customFormat="false" ht="15" hidden="false" customHeight="false" outlineLevel="0" collapsed="false">
      <c r="A7" s="2" t="n">
        <f aca="false">IF(E7&lt;&gt;"",ROW()-1,"")</f>
        <v>6</v>
      </c>
      <c r="B7" s="3" t="s">
        <v>74</v>
      </c>
      <c r="C7" s="3" t="s">
        <v>75</v>
      </c>
      <c r="D7" s="3" t="s">
        <v>63</v>
      </c>
      <c r="E7" s="4" t="s">
        <v>76</v>
      </c>
      <c r="F7" s="4"/>
      <c r="G7" s="5"/>
      <c r="H7" s="4"/>
      <c r="I7" s="4" t="n">
        <v>5</v>
      </c>
      <c r="J7" s="4"/>
      <c r="K7" s="4"/>
      <c r="L7" s="6" t="str">
        <f aca="false">IF(AND(G7&lt;&gt;"",H7&gt;0),ROUND(G7/H7,0),"")</f>
        <v/>
      </c>
      <c r="M7" s="6" t="str">
        <f aca="false">IF(F7&lt;&gt;"",IFERROR(VLOOKUP(F7,TablaRef,2,FALSE()),"?"),"")</f>
        <v/>
      </c>
      <c r="N7" s="7" t="str">
        <f aca="false">IF(AND(L7&lt;&gt;"",M7&lt;&gt;"",ISNUMBER(M7)),IF(L7&lt;M7*(1-MargenPct),"🟢",IF(L7&gt;M7*(1+MargenPct),"🔴","🟡")),"")</f>
        <v/>
      </c>
      <c r="O7" s="8" t="str">
        <f aca="false">IF(G7&lt;&gt;"",W7+X7+Y7+Z7+AB7+AC7+AD7,"")</f>
        <v/>
      </c>
      <c r="P7" s="9" t="str">
        <f aca="false">IF(G7&lt;&gt;"",IF(O7&lt;=Presupuesto,"✓","✗"),"")</f>
        <v/>
      </c>
      <c r="Q7" s="10" t="str">
        <f aca="false">IF(G7&lt;&gt;"",Presupuesto-O7,"")</f>
        <v/>
      </c>
      <c r="R7" s="11"/>
      <c r="S7" s="11"/>
      <c r="T7" s="12"/>
      <c r="U7" s="12"/>
      <c r="V7" s="11"/>
      <c r="W7" s="13" t="str">
        <f aca="false">IF(G7&lt;&gt;"",MAX(G7-Credito,G7*0.1),"")</f>
        <v/>
      </c>
      <c r="X7" s="13" t="str">
        <f aca="false">IF(G7&lt;&gt;"",ROUND(G7*0.02*1.21,0),"")</f>
        <v/>
      </c>
      <c r="Y7" s="13" t="str">
        <f aca="false">IF(G7&lt;&gt;"",IF(G7&lt;=140000,0,ROUND(G7*0.0175,0)),"")</f>
        <v/>
      </c>
      <c r="Z7" s="13" t="str">
        <f aca="false">IF(G7&lt;&gt;"",ROUND(G7*0.004,0),"")</f>
        <v/>
      </c>
      <c r="AA7" s="14"/>
      <c r="AB7" s="13" t="str">
        <f aca="false">IF(G7&lt;&gt;"",IF(AA7="Sí",ROUND(G7*0.04*1.21,0),0),"")</f>
        <v/>
      </c>
      <c r="AC7" s="13" t="str">
        <f aca="false">IF(G7&lt;&gt;"",ROUND(G7*0.01,0),"")</f>
        <v/>
      </c>
      <c r="AD7" s="13" t="str">
        <f aca="false">IF(G7&lt;&gt;"",300,"")</f>
        <v/>
      </c>
      <c r="AE7" s="15"/>
      <c r="AF7" s="15" t="s">
        <v>56</v>
      </c>
      <c r="AG7" s="16"/>
      <c r="AH7" s="16"/>
      <c r="AI7" s="17" t="str">
        <f aca="false">IF(AND(AG7&lt;&gt;"",AH7&lt;&gt;""),(AG7+AH7)/2,"")</f>
        <v/>
      </c>
      <c r="AJ7" s="15" t="s">
        <v>77</v>
      </c>
      <c r="AK7" s="15" t="s">
        <v>78</v>
      </c>
    </row>
    <row r="8" customFormat="false" ht="15" hidden="false" customHeight="false" outlineLevel="0" collapsed="false">
      <c r="A8" s="2" t="n">
        <f aca="false">IF(E8&lt;&gt;"",ROW()-1,"")</f>
        <v>7</v>
      </c>
      <c r="B8" s="3" t="s">
        <v>74</v>
      </c>
      <c r="C8" s="3" t="s">
        <v>75</v>
      </c>
      <c r="D8" s="3" t="s">
        <v>63</v>
      </c>
      <c r="E8" s="4" t="s">
        <v>79</v>
      </c>
      <c r="F8" s="4"/>
      <c r="G8" s="5"/>
      <c r="H8" s="4"/>
      <c r="I8" s="4" t="n">
        <v>5</v>
      </c>
      <c r="J8" s="4"/>
      <c r="K8" s="4"/>
      <c r="L8" s="6" t="str">
        <f aca="false">IF(AND(G8&lt;&gt;"",H8&gt;0),ROUND(G8/H8,0),"")</f>
        <v/>
      </c>
      <c r="M8" s="6" t="str">
        <f aca="false">IF(F8&lt;&gt;"",IFERROR(VLOOKUP(F8,TablaRef,2,FALSE()),"?"),"")</f>
        <v/>
      </c>
      <c r="N8" s="7" t="str">
        <f aca="false">IF(AND(L8&lt;&gt;"",M8&lt;&gt;"",ISNUMBER(M8)),IF(L8&lt;M8*(1-MargenPct),"🟢",IF(L8&gt;M8*(1+MargenPct),"🔴","🟡")),"")</f>
        <v/>
      </c>
      <c r="O8" s="8" t="str">
        <f aca="false">IF(G8&lt;&gt;"",W8+X8+Y8+Z8+AB8+AC8+AD8,"")</f>
        <v/>
      </c>
      <c r="P8" s="9" t="str">
        <f aca="false">IF(G8&lt;&gt;"",IF(O8&lt;=Presupuesto,"✓","✗"),"")</f>
        <v/>
      </c>
      <c r="Q8" s="10" t="str">
        <f aca="false">IF(G8&lt;&gt;"",Presupuesto-O8,"")</f>
        <v/>
      </c>
      <c r="R8" s="11"/>
      <c r="S8" s="11"/>
      <c r="T8" s="12"/>
      <c r="U8" s="12"/>
      <c r="V8" s="11"/>
      <c r="W8" s="13" t="str">
        <f aca="false">IF(G8&lt;&gt;"",MAX(G8-Credito,G8*0.1),"")</f>
        <v/>
      </c>
      <c r="X8" s="13" t="str">
        <f aca="false">IF(G8&lt;&gt;"",ROUND(G8*0.02*1.21,0),"")</f>
        <v/>
      </c>
      <c r="Y8" s="13" t="str">
        <f aca="false">IF(G8&lt;&gt;"",IF(G8&lt;=140000,0,ROUND(G8*0.0175,0)),"")</f>
        <v/>
      </c>
      <c r="Z8" s="13" t="str">
        <f aca="false">IF(G8&lt;&gt;"",ROUND(G8*0.004,0),"")</f>
        <v/>
      </c>
      <c r="AA8" s="14"/>
      <c r="AB8" s="13" t="str">
        <f aca="false">IF(G8&lt;&gt;"",IF(AA8="Sí",ROUND(G8*0.04*1.21,0),0),"")</f>
        <v/>
      </c>
      <c r="AC8" s="13" t="str">
        <f aca="false">IF(G8&lt;&gt;"",ROUND(G8*0.01,0),"")</f>
        <v/>
      </c>
      <c r="AD8" s="13" t="str">
        <f aca="false">IF(G8&lt;&gt;"",300,"")</f>
        <v/>
      </c>
      <c r="AE8" s="15"/>
      <c r="AF8" s="15" t="s">
        <v>56</v>
      </c>
      <c r="AG8" s="16"/>
      <c r="AH8" s="16"/>
      <c r="AI8" s="17" t="str">
        <f aca="false">IF(AND(AG8&lt;&gt;"",AH8&lt;&gt;""),(AG8+AH8)/2,"")</f>
        <v/>
      </c>
      <c r="AJ8" s="15" t="s">
        <v>80</v>
      </c>
      <c r="AK8" s="15" t="s">
        <v>81</v>
      </c>
    </row>
    <row r="9" customFormat="false" ht="15" hidden="false" customHeight="false" outlineLevel="0" collapsed="false">
      <c r="A9" s="2" t="n">
        <f aca="false">IF(E9&lt;&gt;"",ROW()-1,"")</f>
        <v>8</v>
      </c>
      <c r="B9" s="3" t="s">
        <v>67</v>
      </c>
      <c r="C9" s="3" t="s">
        <v>68</v>
      </c>
      <c r="D9" s="3" t="s">
        <v>63</v>
      </c>
      <c r="E9" s="4" t="s">
        <v>82</v>
      </c>
      <c r="F9" s="4" t="s">
        <v>70</v>
      </c>
      <c r="G9" s="5"/>
      <c r="H9" s="4"/>
      <c r="I9" s="4" t="n">
        <v>3</v>
      </c>
      <c r="J9" s="4"/>
      <c r="K9" s="4"/>
      <c r="L9" s="6" t="str">
        <f aca="false">IF(AND(G9&lt;&gt;"",H9&gt;0),ROUND(G9/H9,0),"")</f>
        <v/>
      </c>
      <c r="M9" s="6" t="n">
        <f aca="false">IF(F9&lt;&gt;"",IFERROR(VLOOKUP(F9,TablaRef,2,FALSE()),"?"),"")</f>
        <v>1683</v>
      </c>
      <c r="N9" s="7" t="str">
        <f aca="false">IF(AND(L9&lt;&gt;"",M9&lt;&gt;"",ISNUMBER(M9)),IF(L9&lt;M9*(1-MargenPct),"🟢",IF(L9&gt;M9*(1+MargenPct),"🔴","🟡")),"")</f>
        <v/>
      </c>
      <c r="O9" s="8" t="str">
        <f aca="false">IF(G9&lt;&gt;"",W9+X9+Y9+Z9+AB9+AC9+AD9,"")</f>
        <v/>
      </c>
      <c r="P9" s="9" t="str">
        <f aca="false">IF(G9&lt;&gt;"",IF(O9&lt;=Presupuesto,"✓","✗"),"")</f>
        <v/>
      </c>
      <c r="Q9" s="10" t="str">
        <f aca="false">IF(G9&lt;&gt;"",Presupuesto-O9,"")</f>
        <v/>
      </c>
      <c r="R9" s="11"/>
      <c r="S9" s="11"/>
      <c r="T9" s="12"/>
      <c r="U9" s="12"/>
      <c r="V9" s="11"/>
      <c r="W9" s="13" t="str">
        <f aca="false">IF(G9&lt;&gt;"",MAX(G9-Credito,G9*0.1),"")</f>
        <v/>
      </c>
      <c r="X9" s="13" t="str">
        <f aca="false">IF(G9&lt;&gt;"",ROUND(G9*0.02*1.21,0),"")</f>
        <v/>
      </c>
      <c r="Y9" s="13" t="str">
        <f aca="false">IF(G9&lt;&gt;"",IF(G9&lt;=140000,0,ROUND(G9*0.0175,0)),"")</f>
        <v/>
      </c>
      <c r="Z9" s="13" t="str">
        <f aca="false">IF(G9&lt;&gt;"",ROUND(G9*0.004,0),"")</f>
        <v/>
      </c>
      <c r="AA9" s="14"/>
      <c r="AB9" s="13" t="str">
        <f aca="false">IF(G9&lt;&gt;"",IF(AA9="Sí",ROUND(G9*0.04*1.21,0),0),"")</f>
        <v/>
      </c>
      <c r="AC9" s="13" t="str">
        <f aca="false">IF(G9&lt;&gt;"",ROUND(G9*0.01,0),"")</f>
        <v/>
      </c>
      <c r="AD9" s="13" t="str">
        <f aca="false">IF(G9&lt;&gt;"",300,"")</f>
        <v/>
      </c>
      <c r="AE9" s="15"/>
      <c r="AF9" s="15" t="s">
        <v>83</v>
      </c>
      <c r="AG9" s="16"/>
      <c r="AH9" s="16"/>
      <c r="AI9" s="17" t="str">
        <f aca="false">IF(AND(AG9&lt;&gt;"",AH9&lt;&gt;""),(AG9+AH9)/2,"")</f>
        <v/>
      </c>
      <c r="AJ9" s="15" t="s">
        <v>84</v>
      </c>
      <c r="AK9" s="15" t="s">
        <v>85</v>
      </c>
    </row>
    <row r="10" customFormat="false" ht="15" hidden="false" customHeight="false" outlineLevel="0" collapsed="false">
      <c r="A10" s="2" t="n">
        <f aca="false">IF(E10&lt;&gt;"",ROW()-1,"")</f>
        <v>9</v>
      </c>
      <c r="B10" s="3" t="s">
        <v>67</v>
      </c>
      <c r="C10" s="3" t="s">
        <v>68</v>
      </c>
      <c r="D10" s="3" t="s">
        <v>63</v>
      </c>
      <c r="E10" s="4" t="s">
        <v>86</v>
      </c>
      <c r="F10" s="4" t="s">
        <v>87</v>
      </c>
      <c r="G10" s="5"/>
      <c r="H10" s="4" t="n">
        <v>70</v>
      </c>
      <c r="I10" s="4" t="n">
        <v>3</v>
      </c>
      <c r="J10" s="4" t="s">
        <v>42</v>
      </c>
      <c r="K10" s="4"/>
      <c r="L10" s="6" t="str">
        <f aca="false">IF(AND(G10&lt;&gt;"",H10&gt;0),ROUND(G10/H10,0),"")</f>
        <v/>
      </c>
      <c r="M10" s="6" t="n">
        <f aca="false">IF(F10&lt;&gt;"",IFERROR(VLOOKUP(F10,TablaRef,2,FALSE()),"?"),"")</f>
        <v>1854</v>
      </c>
      <c r="N10" s="7" t="str">
        <f aca="false">IF(AND(L10&lt;&gt;"",M10&lt;&gt;"",ISNUMBER(M10)),IF(L10&lt;M10*(1-MargenPct),"🟢",IF(L10&gt;M10*(1+MargenPct),"🔴","🟡")),"")</f>
        <v/>
      </c>
      <c r="O10" s="8" t="str">
        <f aca="false">IF(G10&lt;&gt;"",W10+X10+Y10+Z10+AB10+AC10+AD10,"")</f>
        <v/>
      </c>
      <c r="P10" s="9" t="str">
        <f aca="false">IF(G10&lt;&gt;"",IF(O10&lt;=Presupuesto,"✓","✗"),"")</f>
        <v/>
      </c>
      <c r="Q10" s="10" t="str">
        <f aca="false">IF(G10&lt;&gt;"",Presupuesto-O10,"")</f>
        <v/>
      </c>
      <c r="R10" s="11"/>
      <c r="S10" s="11"/>
      <c r="T10" s="12" t="s">
        <v>44</v>
      </c>
      <c r="U10" s="12" t="s">
        <v>45</v>
      </c>
      <c r="V10" s="11" t="s">
        <v>88</v>
      </c>
      <c r="W10" s="13" t="str">
        <f aca="false">IF(G10&lt;&gt;"",MAX(G10-Credito,G10*0.1),"")</f>
        <v/>
      </c>
      <c r="X10" s="13" t="str">
        <f aca="false">IF(G10&lt;&gt;"",ROUND(G10*0.02*1.21,0),"")</f>
        <v/>
      </c>
      <c r="Y10" s="13" t="str">
        <f aca="false">IF(G10&lt;&gt;"",IF(G10&lt;=140000,0,ROUND(G10*0.0175,0)),"")</f>
        <v/>
      </c>
      <c r="Z10" s="13" t="str">
        <f aca="false">IF(G10&lt;&gt;"",ROUND(G10*0.004,0),"")</f>
        <v/>
      </c>
      <c r="AA10" s="14"/>
      <c r="AB10" s="13" t="str">
        <f aca="false">IF(G10&lt;&gt;"",IF(AA10="Sí",ROUND(G10*0.04*1.21,0),0),"")</f>
        <v/>
      </c>
      <c r="AC10" s="13" t="str">
        <f aca="false">IF(G10&lt;&gt;"",ROUND(G10*0.01,0),"")</f>
        <v/>
      </c>
      <c r="AD10" s="13" t="str">
        <f aca="false">IF(G10&lt;&gt;"",300,"")</f>
        <v/>
      </c>
      <c r="AE10" s="15"/>
      <c r="AF10" s="15" t="s">
        <v>89</v>
      </c>
      <c r="AG10" s="16"/>
      <c r="AH10" s="16"/>
      <c r="AI10" s="17" t="str">
        <f aca="false">IF(AND(AG10&lt;&gt;"",AH10&lt;&gt;""),(AG10+AH10)/2,"")</f>
        <v/>
      </c>
      <c r="AJ10" s="15" t="s">
        <v>90</v>
      </c>
      <c r="AK10" s="15" t="s">
        <v>91</v>
      </c>
    </row>
    <row r="11" customFormat="false" ht="15" hidden="false" customHeight="false" outlineLevel="0" collapsed="false">
      <c r="A11" s="2" t="n">
        <f aca="false">IF(E11&lt;&gt;"",ROW()-1,"")</f>
        <v>10</v>
      </c>
      <c r="B11" s="3" t="s">
        <v>67</v>
      </c>
      <c r="C11" s="3" t="s">
        <v>68</v>
      </c>
      <c r="D11" s="3" t="s">
        <v>63</v>
      </c>
      <c r="E11" s="4" t="s">
        <v>92</v>
      </c>
      <c r="F11" s="4" t="s">
        <v>70</v>
      </c>
      <c r="G11" s="5"/>
      <c r="H11" s="4"/>
      <c r="I11" s="4" t="n">
        <v>3</v>
      </c>
      <c r="J11" s="4"/>
      <c r="K11" s="4"/>
      <c r="L11" s="6" t="str">
        <f aca="false">IF(AND(G11&lt;&gt;"",H11&gt;0),ROUND(G11/H11,0),"")</f>
        <v/>
      </c>
      <c r="M11" s="6" t="n">
        <f aca="false">IF(F11&lt;&gt;"",IFERROR(VLOOKUP(F11,TablaRef,2,FALSE()),"?"),"")</f>
        <v>1683</v>
      </c>
      <c r="N11" s="7" t="str">
        <f aca="false">IF(AND(L11&lt;&gt;"",M11&lt;&gt;"",ISNUMBER(M11)),IF(L11&lt;M11*(1-MargenPct),"🟢",IF(L11&gt;M11*(1+MargenPct),"🔴","🟡")),"")</f>
        <v/>
      </c>
      <c r="O11" s="8" t="str">
        <f aca="false">IF(G11&lt;&gt;"",W11+X11+Y11+Z11+AB11+AC11+AD11,"")</f>
        <v/>
      </c>
      <c r="P11" s="9" t="str">
        <f aca="false">IF(G11&lt;&gt;"",IF(O11&lt;=Presupuesto,"✓","✗"),"")</f>
        <v/>
      </c>
      <c r="Q11" s="10" t="str">
        <f aca="false">IF(G11&lt;&gt;"",Presupuesto-O11,"")</f>
        <v/>
      </c>
      <c r="R11" s="11"/>
      <c r="S11" s="11"/>
      <c r="T11" s="12"/>
      <c r="U11" s="12"/>
      <c r="V11" s="11"/>
      <c r="W11" s="13" t="str">
        <f aca="false">IF(G11&lt;&gt;"",MAX(G11-Credito,G11*0.1),"")</f>
        <v/>
      </c>
      <c r="X11" s="13" t="str">
        <f aca="false">IF(G11&lt;&gt;"",ROUND(G11*0.02*1.21,0),"")</f>
        <v/>
      </c>
      <c r="Y11" s="13" t="str">
        <f aca="false">IF(G11&lt;&gt;"",IF(G11&lt;=140000,0,ROUND(G11*0.0175,0)),"")</f>
        <v/>
      </c>
      <c r="Z11" s="13" t="str">
        <f aca="false">IF(G11&lt;&gt;"",ROUND(G11*0.004,0),"")</f>
        <v/>
      </c>
      <c r="AA11" s="14"/>
      <c r="AB11" s="13" t="str">
        <f aca="false">IF(G11&lt;&gt;"",IF(AA11="Sí",ROUND(G11*0.04*1.21,0),0),"")</f>
        <v/>
      </c>
      <c r="AC11" s="13" t="str">
        <f aca="false">IF(G11&lt;&gt;"",ROUND(G11*0.01,0),"")</f>
        <v/>
      </c>
      <c r="AD11" s="13" t="str">
        <f aca="false">IF(G11&lt;&gt;"",300,"")</f>
        <v/>
      </c>
      <c r="AE11" s="15"/>
      <c r="AF11" s="15" t="s">
        <v>89</v>
      </c>
      <c r="AG11" s="16"/>
      <c r="AH11" s="16"/>
      <c r="AI11" s="17" t="str">
        <f aca="false">IF(AND(AG11&lt;&gt;"",AH11&lt;&gt;""),(AG11+AH11)/2,"")</f>
        <v/>
      </c>
      <c r="AJ11" s="15" t="s">
        <v>93</v>
      </c>
      <c r="AK11" s="15" t="s">
        <v>94</v>
      </c>
    </row>
    <row r="12" customFormat="false" ht="15" hidden="false" customHeight="false" outlineLevel="0" collapsed="false">
      <c r="A12" s="2" t="n">
        <f aca="false">IF(E12&lt;&gt;"",ROW()-1,"")</f>
        <v>11</v>
      </c>
      <c r="B12" s="3" t="s">
        <v>67</v>
      </c>
      <c r="C12" s="3" t="s">
        <v>68</v>
      </c>
      <c r="D12" s="3" t="s">
        <v>63</v>
      </c>
      <c r="E12" s="4" t="s">
        <v>95</v>
      </c>
      <c r="F12" s="4" t="s">
        <v>70</v>
      </c>
      <c r="G12" s="5"/>
      <c r="H12" s="4"/>
      <c r="I12" s="4" t="n">
        <v>3</v>
      </c>
      <c r="J12" s="4" t="s">
        <v>42</v>
      </c>
      <c r="K12" s="4"/>
      <c r="L12" s="6" t="str">
        <f aca="false">IF(AND(G12&lt;&gt;"",H12&gt;0),ROUND(G12/H12,0),"")</f>
        <v/>
      </c>
      <c r="M12" s="6" t="n">
        <f aca="false">IF(F12&lt;&gt;"",IFERROR(VLOOKUP(F12,TablaRef,2,FALSE()),"?"),"")</f>
        <v>1683</v>
      </c>
      <c r="N12" s="7" t="str">
        <f aca="false">IF(AND(L12&lt;&gt;"",M12&lt;&gt;"",ISNUMBER(M12)),IF(L12&lt;M12*(1-MargenPct),"🟢",IF(L12&gt;M12*(1+MargenPct),"🔴","🟡")),"")</f>
        <v/>
      </c>
      <c r="O12" s="8" t="str">
        <f aca="false">IF(G12&lt;&gt;"",W12+X12+Y12+Z12+AB12+AC12+AD12,"")</f>
        <v/>
      </c>
      <c r="P12" s="9" t="str">
        <f aca="false">IF(G12&lt;&gt;"",IF(O12&lt;=Presupuesto,"✓","✗"),"")</f>
        <v/>
      </c>
      <c r="Q12" s="10" t="str">
        <f aca="false">IF(G12&lt;&gt;"",Presupuesto-O12,"")</f>
        <v/>
      </c>
      <c r="R12" s="11"/>
      <c r="S12" s="11"/>
      <c r="T12" s="12"/>
      <c r="U12" s="12"/>
      <c r="V12" s="11"/>
      <c r="W12" s="13" t="str">
        <f aca="false">IF(G12&lt;&gt;"",MAX(G12-Credito,G12*0.1),"")</f>
        <v/>
      </c>
      <c r="X12" s="13" t="str">
        <f aca="false">IF(G12&lt;&gt;"",ROUND(G12*0.02*1.21,0),"")</f>
        <v/>
      </c>
      <c r="Y12" s="13" t="str">
        <f aca="false">IF(G12&lt;&gt;"",IF(G12&lt;=140000,0,ROUND(G12*0.0175,0)),"")</f>
        <v/>
      </c>
      <c r="Z12" s="13" t="str">
        <f aca="false">IF(G12&lt;&gt;"",ROUND(G12*0.004,0),"")</f>
        <v/>
      </c>
      <c r="AA12" s="14"/>
      <c r="AB12" s="13" t="str">
        <f aca="false">IF(G12&lt;&gt;"",IF(AA12="Sí",ROUND(G12*0.04*1.21,0),0),"")</f>
        <v/>
      </c>
      <c r="AC12" s="13" t="str">
        <f aca="false">IF(G12&lt;&gt;"",ROUND(G12*0.01,0),"")</f>
        <v/>
      </c>
      <c r="AD12" s="13" t="str">
        <f aca="false">IF(G12&lt;&gt;"",300,"")</f>
        <v/>
      </c>
      <c r="AE12" s="15"/>
      <c r="AF12" s="15" t="s">
        <v>89</v>
      </c>
      <c r="AG12" s="16"/>
      <c r="AH12" s="16"/>
      <c r="AI12" s="17" t="str">
        <f aca="false">IF(AND(AG12&lt;&gt;"",AH12&lt;&gt;""),(AG12+AH12)/2,"")</f>
        <v/>
      </c>
      <c r="AJ12" s="15" t="s">
        <v>96</v>
      </c>
      <c r="AK12" s="15" t="s">
        <v>97</v>
      </c>
    </row>
    <row r="13" customFormat="false" ht="15" hidden="false" customHeight="false" outlineLevel="0" collapsed="false">
      <c r="A13" s="2" t="n">
        <f aca="false">IF(E13&lt;&gt;"",ROW()-1,"")</f>
        <v>12</v>
      </c>
      <c r="B13" s="3" t="s">
        <v>67</v>
      </c>
      <c r="C13" s="3" t="s">
        <v>68</v>
      </c>
      <c r="D13" s="3" t="s">
        <v>63</v>
      </c>
      <c r="E13" s="4" t="s">
        <v>98</v>
      </c>
      <c r="F13" s="4" t="s">
        <v>87</v>
      </c>
      <c r="G13" s="5"/>
      <c r="H13" s="4"/>
      <c r="I13" s="4" t="n">
        <v>3</v>
      </c>
      <c r="J13" s="4"/>
      <c r="K13" s="4"/>
      <c r="L13" s="6" t="str">
        <f aca="false">IF(AND(G13&lt;&gt;"",H13&gt;0),ROUND(G13/H13,0),"")</f>
        <v/>
      </c>
      <c r="M13" s="6" t="n">
        <f aca="false">IF(F13&lt;&gt;"",IFERROR(VLOOKUP(F13,TablaRef,2,FALSE()),"?"),"")</f>
        <v>1854</v>
      </c>
      <c r="N13" s="7" t="str">
        <f aca="false">IF(AND(L13&lt;&gt;"",M13&lt;&gt;"",ISNUMBER(M13)),IF(L13&lt;M13*(1-MargenPct),"🟢",IF(L13&gt;M13*(1+MargenPct),"🔴","🟡")),"")</f>
        <v/>
      </c>
      <c r="O13" s="8" t="str">
        <f aca="false">IF(G13&lt;&gt;"",W13+X13+Y13+Z13+AB13+AC13+AD13,"")</f>
        <v/>
      </c>
      <c r="P13" s="9" t="str">
        <f aca="false">IF(G13&lt;&gt;"",IF(O13&lt;=Presupuesto,"✓","✗"),"")</f>
        <v/>
      </c>
      <c r="Q13" s="10" t="str">
        <f aca="false">IF(G13&lt;&gt;"",Presupuesto-O13,"")</f>
        <v/>
      </c>
      <c r="R13" s="11"/>
      <c r="S13" s="11"/>
      <c r="T13" s="12"/>
      <c r="U13" s="12"/>
      <c r="V13" s="11"/>
      <c r="W13" s="13" t="str">
        <f aca="false">IF(G13&lt;&gt;"",MAX(G13-Credito,G13*0.1),"")</f>
        <v/>
      </c>
      <c r="X13" s="13" t="str">
        <f aca="false">IF(G13&lt;&gt;"",ROUND(G13*0.02*1.21,0),"")</f>
        <v/>
      </c>
      <c r="Y13" s="13" t="str">
        <f aca="false">IF(G13&lt;&gt;"",IF(G13&lt;=140000,0,ROUND(G13*0.0175,0)),"")</f>
        <v/>
      </c>
      <c r="Z13" s="13" t="str">
        <f aca="false">IF(G13&lt;&gt;"",ROUND(G13*0.004,0),"")</f>
        <v/>
      </c>
      <c r="AA13" s="14"/>
      <c r="AB13" s="13" t="str">
        <f aca="false">IF(G13&lt;&gt;"",IF(AA13="Sí",ROUND(G13*0.04*1.21,0),0),"")</f>
        <v/>
      </c>
      <c r="AC13" s="13" t="str">
        <f aca="false">IF(G13&lt;&gt;"",ROUND(G13*0.01,0),"")</f>
        <v/>
      </c>
      <c r="AD13" s="13" t="str">
        <f aca="false">IF(G13&lt;&gt;"",300,"")</f>
        <v/>
      </c>
      <c r="AE13" s="15"/>
      <c r="AF13" s="15" t="s">
        <v>99</v>
      </c>
      <c r="AG13" s="16"/>
      <c r="AH13" s="16"/>
      <c r="AI13" s="17" t="str">
        <f aca="false">IF(AND(AG13&lt;&gt;"",AH13&lt;&gt;""),(AG13+AH13)/2,"")</f>
        <v/>
      </c>
      <c r="AJ13" s="15" t="s">
        <v>100</v>
      </c>
      <c r="AK13" s="15" t="s">
        <v>101</v>
      </c>
    </row>
    <row r="14" customFormat="false" ht="15" hidden="false" customHeight="false" outlineLevel="0" collapsed="false">
      <c r="A14" s="2" t="n">
        <f aca="false">IF(E14&lt;&gt;"",ROW()-1,"")</f>
        <v>13</v>
      </c>
      <c r="B14" s="3" t="s">
        <v>67</v>
      </c>
      <c r="C14" s="3" t="s">
        <v>68</v>
      </c>
      <c r="D14" s="3" t="s">
        <v>52</v>
      </c>
      <c r="E14" s="4" t="s">
        <v>102</v>
      </c>
      <c r="F14" s="4"/>
      <c r="G14" s="5"/>
      <c r="H14" s="4"/>
      <c r="I14" s="4" t="n">
        <v>3</v>
      </c>
      <c r="J14" s="4"/>
      <c r="K14" s="4"/>
      <c r="L14" s="6" t="str">
        <f aca="false">IF(AND(G14&lt;&gt;"",H14&gt;0),ROUND(G14/H14,0),"")</f>
        <v/>
      </c>
      <c r="M14" s="6" t="str">
        <f aca="false">IF(F14&lt;&gt;"",IFERROR(VLOOKUP(F14,TablaRef,2,FALSE()),"?"),"")</f>
        <v/>
      </c>
      <c r="N14" s="7" t="str">
        <f aca="false">IF(AND(L14&lt;&gt;"",M14&lt;&gt;"",ISNUMBER(M14)),IF(L14&lt;M14*(1-MargenPct),"🟢",IF(L14&gt;M14*(1+MargenPct),"🔴","🟡")),"")</f>
        <v/>
      </c>
      <c r="O14" s="8" t="str">
        <f aca="false">IF(G14&lt;&gt;"",W14+X14+Y14+Z14+AB14+AC14+AD14,"")</f>
        <v/>
      </c>
      <c r="P14" s="9" t="str">
        <f aca="false">IF(G14&lt;&gt;"",IF(O14&lt;=Presupuesto,"✓","✗"),"")</f>
        <v/>
      </c>
      <c r="Q14" s="10" t="str">
        <f aca="false">IF(G14&lt;&gt;"",Presupuesto-O14,"")</f>
        <v/>
      </c>
      <c r="R14" s="11"/>
      <c r="S14" s="11"/>
      <c r="T14" s="12"/>
      <c r="U14" s="12"/>
      <c r="V14" s="11"/>
      <c r="W14" s="13" t="str">
        <f aca="false">IF(G14&lt;&gt;"",MAX(G14-Credito,G14*0.1),"")</f>
        <v/>
      </c>
      <c r="X14" s="13" t="str">
        <f aca="false">IF(G14&lt;&gt;"",ROUND(G14*0.02*1.21,0),"")</f>
        <v/>
      </c>
      <c r="Y14" s="13" t="str">
        <f aca="false">IF(G14&lt;&gt;"",IF(G14&lt;=140000,0,ROUND(G14*0.0175,0)),"")</f>
        <v/>
      </c>
      <c r="Z14" s="13" t="str">
        <f aca="false">IF(G14&lt;&gt;"",ROUND(G14*0.004,0),"")</f>
        <v/>
      </c>
      <c r="AA14" s="14"/>
      <c r="AB14" s="13" t="str">
        <f aca="false">IF(G14&lt;&gt;"",IF(AA14="Sí",ROUND(G14*0.04*1.21,0),0),"")</f>
        <v/>
      </c>
      <c r="AC14" s="13" t="str">
        <f aca="false">IF(G14&lt;&gt;"",ROUND(G14*0.01,0),"")</f>
        <v/>
      </c>
      <c r="AD14" s="13" t="str">
        <f aca="false">IF(G14&lt;&gt;"",300,"")</f>
        <v/>
      </c>
      <c r="AE14" s="15"/>
      <c r="AF14" s="15" t="s">
        <v>103</v>
      </c>
      <c r="AG14" s="16"/>
      <c r="AH14" s="16"/>
      <c r="AI14" s="17" t="str">
        <f aca="false">IF(AND(AG14&lt;&gt;"",AH14&lt;&gt;""),(AG14+AH14)/2,"")</f>
        <v/>
      </c>
      <c r="AJ14" s="15" t="s">
        <v>104</v>
      </c>
      <c r="AK14" s="15" t="s">
        <v>105</v>
      </c>
    </row>
    <row r="15" customFormat="false" ht="15" hidden="false" customHeight="false" outlineLevel="0" collapsed="false">
      <c r="A15" s="2" t="n">
        <f aca="false">IF(E15&lt;&gt;"",ROW()-1,"")</f>
        <v>14</v>
      </c>
      <c r="B15" s="3" t="s">
        <v>67</v>
      </c>
      <c r="C15" s="3" t="s">
        <v>68</v>
      </c>
      <c r="D15" s="3" t="s">
        <v>63</v>
      </c>
      <c r="E15" s="4" t="s">
        <v>106</v>
      </c>
      <c r="F15" s="4" t="s">
        <v>107</v>
      </c>
      <c r="G15" s="5"/>
      <c r="H15" s="4"/>
      <c r="I15" s="4" t="n">
        <v>4</v>
      </c>
      <c r="J15" s="4"/>
      <c r="K15" s="4"/>
      <c r="L15" s="6" t="str">
        <f aca="false">IF(AND(G15&lt;&gt;"",H15&gt;0),ROUND(G15/H15,0),"")</f>
        <v/>
      </c>
      <c r="M15" s="6" t="n">
        <f aca="false">IF(F15&lt;&gt;"",IFERROR(VLOOKUP(F15,TablaRef,2,FALSE()),"?"),"")</f>
        <v>2357</v>
      </c>
      <c r="N15" s="7" t="str">
        <f aca="false">IF(AND(L15&lt;&gt;"",M15&lt;&gt;"",ISNUMBER(M15)),IF(L15&lt;M15*(1-MargenPct),"🟢",IF(L15&gt;M15*(1+MargenPct),"🔴","🟡")),"")</f>
        <v/>
      </c>
      <c r="O15" s="8" t="str">
        <f aca="false">IF(G15&lt;&gt;"",W15+X15+Y15+Z15+AB15+AC15+AD15,"")</f>
        <v/>
      </c>
      <c r="P15" s="9" t="str">
        <f aca="false">IF(G15&lt;&gt;"",IF(O15&lt;=Presupuesto,"✓","✗"),"")</f>
        <v/>
      </c>
      <c r="Q15" s="10" t="str">
        <f aca="false">IF(G15&lt;&gt;"",Presupuesto-O15,"")</f>
        <v/>
      </c>
      <c r="R15" s="11"/>
      <c r="S15" s="11"/>
      <c r="T15" s="12" t="s">
        <v>108</v>
      </c>
      <c r="U15" s="12"/>
      <c r="V15" s="11"/>
      <c r="W15" s="13" t="str">
        <f aca="false">IF(G15&lt;&gt;"",MAX(G15-Credito,G15*0.1),"")</f>
        <v/>
      </c>
      <c r="X15" s="13" t="str">
        <f aca="false">IF(G15&lt;&gt;"",ROUND(G15*0.02*1.21,0),"")</f>
        <v/>
      </c>
      <c r="Y15" s="13" t="str">
        <f aca="false">IF(G15&lt;&gt;"",IF(G15&lt;=140000,0,ROUND(G15*0.0175,0)),"")</f>
        <v/>
      </c>
      <c r="Z15" s="13" t="str">
        <f aca="false">IF(G15&lt;&gt;"",ROUND(G15*0.004,0),"")</f>
        <v/>
      </c>
      <c r="AA15" s="14"/>
      <c r="AB15" s="13" t="str">
        <f aca="false">IF(G15&lt;&gt;"",IF(AA15="Sí",ROUND(G15*0.04*1.21,0),0),"")</f>
        <v/>
      </c>
      <c r="AC15" s="13" t="str">
        <f aca="false">IF(G15&lt;&gt;"",ROUND(G15*0.01,0),"")</f>
        <v/>
      </c>
      <c r="AD15" s="13" t="str">
        <f aca="false">IF(G15&lt;&gt;"",300,"")</f>
        <v/>
      </c>
      <c r="AE15" s="15"/>
      <c r="AF15" s="15" t="s">
        <v>103</v>
      </c>
      <c r="AG15" s="16"/>
      <c r="AH15" s="16"/>
      <c r="AI15" s="17" t="str">
        <f aca="false">IF(AND(AG15&lt;&gt;"",AH15&lt;&gt;""),(AG15+AH15)/2,"")</f>
        <v/>
      </c>
      <c r="AJ15" s="15" t="s">
        <v>109</v>
      </c>
      <c r="AK15" s="15" t="s">
        <v>110</v>
      </c>
    </row>
    <row r="16" customFormat="false" ht="15" hidden="false" customHeight="false" outlineLevel="0" collapsed="false">
      <c r="A16" s="2" t="n">
        <f aca="false">IF(E16&lt;&gt;"",ROW()-1,"")</f>
        <v>15</v>
      </c>
      <c r="B16" s="3" t="s">
        <v>67</v>
      </c>
      <c r="C16" s="3" t="s">
        <v>68</v>
      </c>
      <c r="D16" s="3" t="s">
        <v>63</v>
      </c>
      <c r="E16" s="4" t="s">
        <v>111</v>
      </c>
      <c r="F16" s="4" t="s">
        <v>70</v>
      </c>
      <c r="G16" s="5"/>
      <c r="H16" s="4"/>
      <c r="I16" s="4" t="n">
        <v>3</v>
      </c>
      <c r="J16" s="4"/>
      <c r="K16" s="4"/>
      <c r="L16" s="6" t="str">
        <f aca="false">IF(AND(G16&lt;&gt;"",H16&gt;0),ROUND(G16/H16,0),"")</f>
        <v/>
      </c>
      <c r="M16" s="6" t="n">
        <f aca="false">IF(F16&lt;&gt;"",IFERROR(VLOOKUP(F16,TablaRef,2,FALSE()),"?"),"")</f>
        <v>1683</v>
      </c>
      <c r="N16" s="7" t="str">
        <f aca="false">IF(AND(L16&lt;&gt;"",M16&lt;&gt;"",ISNUMBER(M16)),IF(L16&lt;M16*(1-MargenPct),"🟢",IF(L16&gt;M16*(1+MargenPct),"🔴","🟡")),"")</f>
        <v/>
      </c>
      <c r="O16" s="8" t="str">
        <f aca="false">IF(G16&lt;&gt;"",W16+X16+Y16+Z16+AB16+AC16+AD16,"")</f>
        <v/>
      </c>
      <c r="P16" s="9" t="str">
        <f aca="false">IF(G16&lt;&gt;"",IF(O16&lt;=Presupuesto,"✓","✗"),"")</f>
        <v/>
      </c>
      <c r="Q16" s="10" t="str">
        <f aca="false">IF(G16&lt;&gt;"",Presupuesto-O16,"")</f>
        <v/>
      </c>
      <c r="R16" s="11"/>
      <c r="S16" s="11"/>
      <c r="T16" s="12"/>
      <c r="U16" s="12" t="s">
        <v>112</v>
      </c>
      <c r="V16" s="11"/>
      <c r="W16" s="13" t="str">
        <f aca="false">IF(G16&lt;&gt;"",MAX(G16-Credito,G16*0.1),"")</f>
        <v/>
      </c>
      <c r="X16" s="13" t="str">
        <f aca="false">IF(G16&lt;&gt;"",ROUND(G16*0.02*1.21,0),"")</f>
        <v/>
      </c>
      <c r="Y16" s="13" t="str">
        <f aca="false">IF(G16&lt;&gt;"",IF(G16&lt;=140000,0,ROUND(G16*0.0175,0)),"")</f>
        <v/>
      </c>
      <c r="Z16" s="13" t="str">
        <f aca="false">IF(G16&lt;&gt;"",ROUND(G16*0.004,0),"")</f>
        <v/>
      </c>
      <c r="AA16" s="14"/>
      <c r="AB16" s="13" t="str">
        <f aca="false">IF(G16&lt;&gt;"",IF(AA16="Sí",ROUND(G16*0.04*1.21,0),0),"")</f>
        <v/>
      </c>
      <c r="AC16" s="13" t="str">
        <f aca="false">IF(G16&lt;&gt;"",ROUND(G16*0.01,0),"")</f>
        <v/>
      </c>
      <c r="AD16" s="13" t="str">
        <f aca="false">IF(G16&lt;&gt;"",300,"")</f>
        <v/>
      </c>
      <c r="AE16" s="15"/>
      <c r="AF16" s="15" t="s">
        <v>103</v>
      </c>
      <c r="AG16" s="16"/>
      <c r="AH16" s="16"/>
      <c r="AI16" s="17" t="str">
        <f aca="false">IF(AND(AG16&lt;&gt;"",AH16&lt;&gt;""),(AG16+AH16)/2,"")</f>
        <v/>
      </c>
      <c r="AJ16" s="15" t="s">
        <v>113</v>
      </c>
      <c r="AK16" s="15" t="s">
        <v>114</v>
      </c>
    </row>
    <row r="17" customFormat="false" ht="15" hidden="false" customHeight="false" outlineLevel="0" collapsed="false">
      <c r="A17" s="2" t="n">
        <f aca="false">IF(E17&lt;&gt;"",ROW()-1,"")</f>
        <v>16</v>
      </c>
      <c r="B17" s="3" t="s">
        <v>67</v>
      </c>
      <c r="C17" s="3" t="s">
        <v>68</v>
      </c>
      <c r="D17" s="3" t="s">
        <v>63</v>
      </c>
      <c r="E17" s="4" t="s">
        <v>115</v>
      </c>
      <c r="F17" s="4" t="s">
        <v>116</v>
      </c>
      <c r="G17" s="5"/>
      <c r="H17" s="4"/>
      <c r="I17" s="4" t="n">
        <v>4</v>
      </c>
      <c r="J17" s="4"/>
      <c r="K17" s="4" t="s">
        <v>43</v>
      </c>
      <c r="L17" s="6" t="str">
        <f aca="false">IF(AND(G17&lt;&gt;"",H17&gt;0),ROUND(G17/H17,0),"")</f>
        <v/>
      </c>
      <c r="M17" s="6" t="n">
        <f aca="false">IF(F17&lt;&gt;"",IFERROR(VLOOKUP(F17,TablaRef,2,FALSE()),"?"),"")</f>
        <v>1897</v>
      </c>
      <c r="N17" s="7" t="str">
        <f aca="false">IF(AND(L17&lt;&gt;"",M17&lt;&gt;"",ISNUMBER(M17)),IF(L17&lt;M17*(1-MargenPct),"🟢",IF(L17&gt;M17*(1+MargenPct),"🔴","🟡")),"")</f>
        <v/>
      </c>
      <c r="O17" s="8" t="str">
        <f aca="false">IF(G17&lt;&gt;"",W17+X17+Y17+Z17+AB17+AC17+AD17,"")</f>
        <v/>
      </c>
      <c r="P17" s="9" t="str">
        <f aca="false">IF(G17&lt;&gt;"",IF(O17&lt;=Presupuesto,"✓","✗"),"")</f>
        <v/>
      </c>
      <c r="Q17" s="10" t="str">
        <f aca="false">IF(G17&lt;&gt;"",Presupuesto-O17,"")</f>
        <v/>
      </c>
      <c r="R17" s="11"/>
      <c r="S17" s="11"/>
      <c r="T17" s="12" t="s">
        <v>44</v>
      </c>
      <c r="U17" s="12"/>
      <c r="V17" s="11" t="s">
        <v>46</v>
      </c>
      <c r="W17" s="13" t="str">
        <f aca="false">IF(G17&lt;&gt;"",MAX(G17-Credito,G17*0.1),"")</f>
        <v/>
      </c>
      <c r="X17" s="13" t="str">
        <f aca="false">IF(G17&lt;&gt;"",ROUND(G17*0.02*1.21,0),"")</f>
        <v/>
      </c>
      <c r="Y17" s="13" t="str">
        <f aca="false">IF(G17&lt;&gt;"",IF(G17&lt;=140000,0,ROUND(G17*0.0175,0)),"")</f>
        <v/>
      </c>
      <c r="Z17" s="13" t="str">
        <f aca="false">IF(G17&lt;&gt;"",ROUND(G17*0.004,0),"")</f>
        <v/>
      </c>
      <c r="AA17" s="14"/>
      <c r="AB17" s="13" t="str">
        <f aca="false">IF(G17&lt;&gt;"",IF(AA17="Sí",ROUND(G17*0.04*1.21,0),0),"")</f>
        <v/>
      </c>
      <c r="AC17" s="13" t="str">
        <f aca="false">IF(G17&lt;&gt;"",ROUND(G17*0.01,0),"")</f>
        <v/>
      </c>
      <c r="AD17" s="13" t="str">
        <f aca="false">IF(G17&lt;&gt;"",300,"")</f>
        <v/>
      </c>
      <c r="AE17" s="15"/>
      <c r="AF17" s="15" t="s">
        <v>117</v>
      </c>
      <c r="AG17" s="16"/>
      <c r="AH17" s="16"/>
      <c r="AI17" s="17" t="str">
        <f aca="false">IF(AND(AG17&lt;&gt;"",AH17&lt;&gt;""),(AG17+AH17)/2,"")</f>
        <v/>
      </c>
      <c r="AJ17" s="15" t="s">
        <v>118</v>
      </c>
      <c r="AK17" s="15" t="s">
        <v>119</v>
      </c>
    </row>
    <row r="18" customFormat="false" ht="15" hidden="false" customHeight="false" outlineLevel="0" collapsed="false">
      <c r="A18" s="2" t="n">
        <f aca="false">IF(E18&lt;&gt;"",ROW()-1,"")</f>
        <v>17</v>
      </c>
      <c r="B18" s="3" t="s">
        <v>74</v>
      </c>
      <c r="C18" s="3" t="s">
        <v>68</v>
      </c>
      <c r="D18" s="3" t="s">
        <v>39</v>
      </c>
      <c r="E18" s="4" t="s">
        <v>120</v>
      </c>
      <c r="F18" s="4" t="s">
        <v>116</v>
      </c>
      <c r="G18" s="5" t="n">
        <v>99900</v>
      </c>
      <c r="H18" s="4" t="n">
        <v>64</v>
      </c>
      <c r="I18" s="4" t="n">
        <v>4</v>
      </c>
      <c r="J18" s="4" t="s">
        <v>121</v>
      </c>
      <c r="K18" s="4" t="s">
        <v>43</v>
      </c>
      <c r="L18" s="6" t="n">
        <f aca="false">IF(AND(G18&lt;&gt;"",H18&gt;0),ROUND(G18/H18,0),"")</f>
        <v>1561</v>
      </c>
      <c r="M18" s="6" t="n">
        <f aca="false">IF(F18&lt;&gt;"",IFERROR(VLOOKUP(F18,TablaRef,2,FALSE()),"?"),"")</f>
        <v>1897</v>
      </c>
      <c r="N18" s="7" t="str">
        <f aca="false">IF(AND(L18&lt;&gt;"",M18&lt;&gt;"",ISNUMBER(M18)),IF(L18&lt;M18*(1-MargenPct),"🟢",IF(L18&gt;M18*(1+MargenPct),"🔴","🟡")),"")</f>
        <v>🟢</v>
      </c>
      <c r="O18" s="8" t="n">
        <f aca="false">IF(G18&lt;&gt;"",W18+X18+Y18+Z18+AB18+AC18+AD18,"")</f>
        <v>22852</v>
      </c>
      <c r="P18" s="9" t="str">
        <f aca="false">IF(G18&lt;&gt;"",IF(O18&lt;=Presupuesto,"✓","✗"),"")</f>
        <v>✓</v>
      </c>
      <c r="Q18" s="10" t="n">
        <f aca="false">IF(G18&lt;&gt;"",Presupuesto-O18,"")</f>
        <v>2148</v>
      </c>
      <c r="R18" s="11" t="n">
        <v>77</v>
      </c>
      <c r="S18" s="11" t="n">
        <v>10</v>
      </c>
      <c r="T18" s="12" t="s">
        <v>44</v>
      </c>
      <c r="U18" s="12"/>
      <c r="V18" s="11"/>
      <c r="W18" s="13" t="n">
        <f aca="false">IF(G18&lt;&gt;"",MAX(G18-Credito,G18*0.1),"")</f>
        <v>13900</v>
      </c>
      <c r="X18" s="13" t="n">
        <f aca="false">IF(G18&lt;&gt;"",ROUND(G18*0.02*1.21,0),"")</f>
        <v>2418</v>
      </c>
      <c r="Y18" s="13" t="n">
        <f aca="false">IF(G18&lt;&gt;"",IF(G18&lt;=140000,0,ROUND(G18*0.0175,0)),"")</f>
        <v>0</v>
      </c>
      <c r="Z18" s="13" t="n">
        <f aca="false">IF(G18&lt;&gt;"",ROUND(G18*0.004,0),"")</f>
        <v>400</v>
      </c>
      <c r="AA18" s="14" t="s">
        <v>42</v>
      </c>
      <c r="AB18" s="13" t="n">
        <f aca="false">IF(G18&lt;&gt;"",IF(AA18="Sí",ROUND(G18*0.04*1.21,0),0),"")</f>
        <v>4835</v>
      </c>
      <c r="AC18" s="13" t="n">
        <f aca="false">IF(G18&lt;&gt;"",ROUND(G18*0.01,0),"")</f>
        <v>999</v>
      </c>
      <c r="AD18" s="13" t="n">
        <f aca="false">IF(G18&lt;&gt;"",300,"")</f>
        <v>300</v>
      </c>
      <c r="AE18" s="15"/>
      <c r="AF18" s="15" t="s">
        <v>117</v>
      </c>
      <c r="AG18" s="16"/>
      <c r="AH18" s="16"/>
      <c r="AI18" s="17" t="str">
        <f aca="false">IF(AND(AG18&lt;&gt;"",AH18&lt;&gt;""),(AG18+AH18)/2,"")</f>
        <v/>
      </c>
      <c r="AJ18" s="15" t="s">
        <v>122</v>
      </c>
      <c r="AK18" s="15" t="s">
        <v>119</v>
      </c>
    </row>
    <row r="19" customFormat="false" ht="15" hidden="false" customHeight="false" outlineLevel="0" collapsed="false">
      <c r="A19" s="2" t="n">
        <f aca="false">IF(E19&lt;&gt;"",ROW()-1,"")</f>
        <v>18</v>
      </c>
      <c r="B19" s="3" t="s">
        <v>67</v>
      </c>
      <c r="C19" s="3" t="s">
        <v>68</v>
      </c>
      <c r="D19" s="3" t="s">
        <v>63</v>
      </c>
      <c r="E19" s="4" t="s">
        <v>123</v>
      </c>
      <c r="F19" s="4" t="s">
        <v>70</v>
      </c>
      <c r="G19" s="5"/>
      <c r="H19" s="4" t="n">
        <v>79</v>
      </c>
      <c r="I19" s="4" t="n">
        <v>4</v>
      </c>
      <c r="J19" s="4"/>
      <c r="K19" s="4" t="s">
        <v>43</v>
      </c>
      <c r="L19" s="6" t="str">
        <f aca="false">IF(AND(G19&lt;&gt;"",H19&gt;0),ROUND(G19/H19,0),"")</f>
        <v/>
      </c>
      <c r="M19" s="6" t="n">
        <f aca="false">IF(F19&lt;&gt;"",IFERROR(VLOOKUP(F19,TablaRef,2,FALSE()),"?"),"")</f>
        <v>1683</v>
      </c>
      <c r="N19" s="7" t="str">
        <f aca="false">IF(AND(L19&lt;&gt;"",M19&lt;&gt;"",ISNUMBER(M19)),IF(L19&lt;M19*(1-MargenPct),"🟢",IF(L19&gt;M19*(1+MargenPct),"🔴","🟡")),"")</f>
        <v/>
      </c>
      <c r="O19" s="8" t="str">
        <f aca="false">IF(G19&lt;&gt;"",W19+X19+Y19+Z19+AB19+AC19+AD19,"")</f>
        <v/>
      </c>
      <c r="P19" s="9" t="str">
        <f aca="false">IF(G19&lt;&gt;"",IF(O19&lt;=Presupuesto,"✓","✗"),"")</f>
        <v/>
      </c>
      <c r="Q19" s="10" t="str">
        <f aca="false">IF(G19&lt;&gt;"",Presupuesto-O19,"")</f>
        <v/>
      </c>
      <c r="R19" s="11"/>
      <c r="S19" s="11"/>
      <c r="T19" s="12" t="s">
        <v>44</v>
      </c>
      <c r="U19" s="12"/>
      <c r="V19" s="11"/>
      <c r="W19" s="13" t="str">
        <f aca="false">IF(G19&lt;&gt;"",MAX(G19-Credito,G19*0.1),"")</f>
        <v/>
      </c>
      <c r="X19" s="13" t="str">
        <f aca="false">IF(G19&lt;&gt;"",ROUND(G19*0.02*1.21,0),"")</f>
        <v/>
      </c>
      <c r="Y19" s="13" t="str">
        <f aca="false">IF(G19&lt;&gt;"",IF(G19&lt;=140000,0,ROUND(G19*0.0175,0)),"")</f>
        <v/>
      </c>
      <c r="Z19" s="13" t="str">
        <f aca="false">IF(G19&lt;&gt;"",ROUND(G19*0.004,0),"")</f>
        <v/>
      </c>
      <c r="AA19" s="14"/>
      <c r="AB19" s="13" t="str">
        <f aca="false">IF(G19&lt;&gt;"",IF(AA19="Sí",ROUND(G19*0.04*1.21,0),0),"")</f>
        <v/>
      </c>
      <c r="AC19" s="13" t="str">
        <f aca="false">IF(G19&lt;&gt;"",ROUND(G19*0.01,0),"")</f>
        <v/>
      </c>
      <c r="AD19" s="13" t="str">
        <f aca="false">IF(G19&lt;&gt;"",300,"")</f>
        <v/>
      </c>
      <c r="AE19" s="15"/>
      <c r="AF19" s="15" t="s">
        <v>117</v>
      </c>
      <c r="AG19" s="16"/>
      <c r="AH19" s="16"/>
      <c r="AI19" s="17" t="str">
        <f aca="false">IF(AND(AG19&lt;&gt;"",AH19&lt;&gt;""),(AG19+AH19)/2,"")</f>
        <v/>
      </c>
      <c r="AJ19" s="15" t="s">
        <v>124</v>
      </c>
      <c r="AK19" s="15"/>
    </row>
    <row r="20" customFormat="false" ht="15" hidden="false" customHeight="false" outlineLevel="0" collapsed="false">
      <c r="A20" s="2" t="n">
        <f aca="false">IF(E20&lt;&gt;"",ROW()-1,"")</f>
        <v>19</v>
      </c>
      <c r="B20" s="3" t="s">
        <v>37</v>
      </c>
      <c r="C20" s="3" t="s">
        <v>68</v>
      </c>
      <c r="D20" s="3" t="s">
        <v>63</v>
      </c>
      <c r="E20" s="4" t="s">
        <v>125</v>
      </c>
      <c r="F20" s="4" t="s">
        <v>70</v>
      </c>
      <c r="G20" s="5"/>
      <c r="H20" s="4" t="n">
        <v>64</v>
      </c>
      <c r="I20" s="4" t="n">
        <v>3</v>
      </c>
      <c r="J20" s="4" t="s">
        <v>42</v>
      </c>
      <c r="K20" s="4" t="s">
        <v>43</v>
      </c>
      <c r="L20" s="6" t="str">
        <f aca="false">IF(AND(G20&lt;&gt;"",H20&gt;0),ROUND(G20/H20,0),"")</f>
        <v/>
      </c>
      <c r="M20" s="6" t="n">
        <f aca="false">IF(F20&lt;&gt;"",IFERROR(VLOOKUP(F20,TablaRef,2,FALSE()),"?"),"")</f>
        <v>1683</v>
      </c>
      <c r="N20" s="7" t="str">
        <f aca="false">IF(AND(L20&lt;&gt;"",M20&lt;&gt;"",ISNUMBER(M20)),IF(L20&lt;M20*(1-MargenPct),"🟢",IF(L20&gt;M20*(1+MargenPct),"🔴","🟡")),"")</f>
        <v/>
      </c>
      <c r="O20" s="8" t="str">
        <f aca="false">IF(G20&lt;&gt;"",W20+X20+Y20+Z20+AB20+AC20+AD20,"")</f>
        <v/>
      </c>
      <c r="P20" s="9" t="str">
        <f aca="false">IF(G20&lt;&gt;"",IF(O20&lt;=Presupuesto,"✓","✗"),"")</f>
        <v/>
      </c>
      <c r="Q20" s="10" t="str">
        <f aca="false">IF(G20&lt;&gt;"",Presupuesto-O20,"")</f>
        <v/>
      </c>
      <c r="R20" s="11" t="n">
        <v>138</v>
      </c>
      <c r="S20" s="11"/>
      <c r="T20" s="12"/>
      <c r="U20" s="12" t="s">
        <v>45</v>
      </c>
      <c r="V20" s="11" t="s">
        <v>46</v>
      </c>
      <c r="W20" s="13" t="str">
        <f aca="false">IF(G20&lt;&gt;"",MAX(G20-Credito,G20*0.1),"")</f>
        <v/>
      </c>
      <c r="X20" s="13" t="str">
        <f aca="false">IF(G20&lt;&gt;"",ROUND(G20*0.02*1.21,0),"")</f>
        <v/>
      </c>
      <c r="Y20" s="13" t="str">
        <f aca="false">IF(G20&lt;&gt;"",IF(G20&lt;=140000,0,ROUND(G20*0.0175,0)),"")</f>
        <v/>
      </c>
      <c r="Z20" s="13" t="str">
        <f aca="false">IF(G20&lt;&gt;"",ROUND(G20*0.004,0),"")</f>
        <v/>
      </c>
      <c r="AA20" s="14"/>
      <c r="AB20" s="13" t="str">
        <f aca="false">IF(G20&lt;&gt;"",IF(AA20="Sí",ROUND(G20*0.04*1.21,0),0),"")</f>
        <v/>
      </c>
      <c r="AC20" s="13" t="str">
        <f aca="false">IF(G20&lt;&gt;"",ROUND(G20*0.01,0),"")</f>
        <v/>
      </c>
      <c r="AD20" s="13" t="str">
        <f aca="false">IF(G20&lt;&gt;"",300,"")</f>
        <v/>
      </c>
      <c r="AE20" s="15"/>
      <c r="AF20" s="15" t="s">
        <v>126</v>
      </c>
      <c r="AG20" s="16"/>
      <c r="AH20" s="16"/>
      <c r="AI20" s="17" t="str">
        <f aca="false">IF(AND(AG20&lt;&gt;"",AH20&lt;&gt;""),(AG20+AH20)/2,"")</f>
        <v/>
      </c>
      <c r="AJ20" s="15" t="s">
        <v>127</v>
      </c>
      <c r="AK20" s="15" t="s">
        <v>128</v>
      </c>
    </row>
    <row r="21" customFormat="false" ht="15" hidden="false" customHeight="false" outlineLevel="0" collapsed="false">
      <c r="A21" s="2" t="n">
        <f aca="false">IF(E21&lt;&gt;"",ROW()-1,"")</f>
        <v>20</v>
      </c>
      <c r="B21" s="3" t="s">
        <v>37</v>
      </c>
      <c r="C21" s="3" t="s">
        <v>51</v>
      </c>
      <c r="D21" s="3" t="s">
        <v>63</v>
      </c>
      <c r="E21" s="4" t="s">
        <v>129</v>
      </c>
      <c r="F21" s="4" t="s">
        <v>107</v>
      </c>
      <c r="G21" s="5"/>
      <c r="H21" s="4"/>
      <c r="I21" s="4" t="n">
        <v>3</v>
      </c>
      <c r="J21" s="4"/>
      <c r="K21" s="4"/>
      <c r="L21" s="6" t="str">
        <f aca="false">IF(AND(G21&lt;&gt;"",H21&gt;0),ROUND(G21/H21,0),"")</f>
        <v/>
      </c>
      <c r="M21" s="6" t="n">
        <f aca="false">IF(F21&lt;&gt;"",IFERROR(VLOOKUP(F21,TablaRef,2,FALSE()),"?"),"")</f>
        <v>2357</v>
      </c>
      <c r="N21" s="7" t="str">
        <f aca="false">IF(AND(L21&lt;&gt;"",M21&lt;&gt;"",ISNUMBER(M21)),IF(L21&lt;M21*(1-MargenPct),"🟢",IF(L21&gt;M21*(1+MargenPct),"🔴","🟡")),"")</f>
        <v/>
      </c>
      <c r="O21" s="8" t="str">
        <f aca="false">IF(G21&lt;&gt;"",W21+X21+Y21+Z21+AB21+AC21+AD21,"")</f>
        <v/>
      </c>
      <c r="P21" s="9" t="str">
        <f aca="false">IF(G21&lt;&gt;"",IF(O21&lt;=Presupuesto,"✓","✗"),"")</f>
        <v/>
      </c>
      <c r="Q21" s="10" t="str">
        <f aca="false">IF(G21&lt;&gt;"",Presupuesto-O21,"")</f>
        <v/>
      </c>
      <c r="R21" s="11"/>
      <c r="S21" s="11"/>
      <c r="T21" s="12"/>
      <c r="U21" s="12"/>
      <c r="V21" s="11"/>
      <c r="W21" s="13" t="str">
        <f aca="false">IF(G21&lt;&gt;"",MAX(G21-Credito,G21*0.1),"")</f>
        <v/>
      </c>
      <c r="X21" s="13" t="str">
        <f aca="false">IF(G21&lt;&gt;"",ROUND(G21*0.02*1.21,0),"")</f>
        <v/>
      </c>
      <c r="Y21" s="13" t="str">
        <f aca="false">IF(G21&lt;&gt;"",IF(G21&lt;=140000,0,ROUND(G21*0.0175,0)),"")</f>
        <v/>
      </c>
      <c r="Z21" s="13" t="str">
        <f aca="false">IF(G21&lt;&gt;"",ROUND(G21*0.004,0),"")</f>
        <v/>
      </c>
      <c r="AA21" s="14" t="s">
        <v>42</v>
      </c>
      <c r="AB21" s="13" t="str">
        <f aca="false">IF(G21&lt;&gt;"",IF(AA21="Sí",ROUND(G21*0.04*1.21,0),0),"")</f>
        <v/>
      </c>
      <c r="AC21" s="13" t="str">
        <f aca="false">IF(G21&lt;&gt;"",ROUND(G21*0.01,0),"")</f>
        <v/>
      </c>
      <c r="AD21" s="13" t="str">
        <f aca="false">IF(G21&lt;&gt;"",300,"")</f>
        <v/>
      </c>
      <c r="AE21" s="15"/>
      <c r="AF21" s="15" t="s">
        <v>130</v>
      </c>
      <c r="AG21" s="16"/>
      <c r="AH21" s="16"/>
      <c r="AI21" s="17" t="str">
        <f aca="false">IF(AND(AG21&lt;&gt;"",AH21&lt;&gt;""),(AG21+AH21)/2,"")</f>
        <v/>
      </c>
      <c r="AJ21" s="15" t="s">
        <v>131</v>
      </c>
      <c r="AK21" s="15" t="s">
        <v>132</v>
      </c>
    </row>
    <row r="22" customFormat="false" ht="15" hidden="false" customHeight="false" outlineLevel="0" collapsed="false">
      <c r="A22" s="2" t="n">
        <f aca="false">IF(E22&lt;&gt;"",ROW()-1,"")</f>
        <v>21</v>
      </c>
      <c r="B22" s="3" t="s">
        <v>37</v>
      </c>
      <c r="C22" s="3" t="s">
        <v>133</v>
      </c>
      <c r="D22" s="3" t="s">
        <v>52</v>
      </c>
      <c r="E22" s="4" t="s">
        <v>134</v>
      </c>
      <c r="F22" s="4"/>
      <c r="G22" s="5"/>
      <c r="H22" s="4"/>
      <c r="I22" s="4"/>
      <c r="J22" s="4"/>
      <c r="K22" s="4"/>
      <c r="L22" s="6" t="str">
        <f aca="false">IF(AND(G22&lt;&gt;"",H22&gt;0),ROUND(G22/H22,0),"")</f>
        <v/>
      </c>
      <c r="M22" s="6" t="str">
        <f aca="false">IF(F22&lt;&gt;"",IFERROR(VLOOKUP(F22,TablaRef,2,FALSE()),"?"),"")</f>
        <v/>
      </c>
      <c r="N22" s="7" t="str">
        <f aca="false">IF(AND(L22&lt;&gt;"",M22&lt;&gt;"",ISNUMBER(M22)),IF(L22&lt;M22*(1-MargenPct),"🟢",IF(L22&gt;M22*(1+MargenPct),"🔴","🟡")),"")</f>
        <v/>
      </c>
      <c r="O22" s="8" t="str">
        <f aca="false">IF(G22&lt;&gt;"",W22+X22+Y22+Z22+AB22+AC22+AD22,"")</f>
        <v/>
      </c>
      <c r="P22" s="9" t="str">
        <f aca="false">IF(G22&lt;&gt;"",IF(O22&lt;=Presupuesto,"✓","✗"),"")</f>
        <v/>
      </c>
      <c r="Q22" s="10" t="str">
        <f aca="false">IF(G22&lt;&gt;"",Presupuesto-O22,"")</f>
        <v/>
      </c>
      <c r="R22" s="11"/>
      <c r="S22" s="11"/>
      <c r="T22" s="12"/>
      <c r="U22" s="12"/>
      <c r="V22" s="11"/>
      <c r="W22" s="13" t="str">
        <f aca="false">IF(G22&lt;&gt;"",MAX(G22-Credito,G22*0.1),"")</f>
        <v/>
      </c>
      <c r="X22" s="13" t="str">
        <f aca="false">IF(G22&lt;&gt;"",ROUND(G22*0.02*1.21,0),"")</f>
        <v/>
      </c>
      <c r="Y22" s="13" t="str">
        <f aca="false">IF(G22&lt;&gt;"",IF(G22&lt;=140000,0,ROUND(G22*0.0175,0)),"")</f>
        <v/>
      </c>
      <c r="Z22" s="13" t="str">
        <f aca="false">IF(G22&lt;&gt;"",ROUND(G22*0.004,0),"")</f>
        <v/>
      </c>
      <c r="AA22" s="14"/>
      <c r="AB22" s="13" t="str">
        <f aca="false">IF(G22&lt;&gt;"",IF(AA22="Sí",ROUND(G22*0.04*1.21,0),0),"")</f>
        <v/>
      </c>
      <c r="AC22" s="13" t="str">
        <f aca="false">IF(G22&lt;&gt;"",ROUND(G22*0.01,0),"")</f>
        <v/>
      </c>
      <c r="AD22" s="13" t="str">
        <f aca="false">IF(G22&lt;&gt;"",300,"")</f>
        <v/>
      </c>
      <c r="AE22" s="15"/>
      <c r="AF22" s="15" t="s">
        <v>135</v>
      </c>
      <c r="AG22" s="16"/>
      <c r="AH22" s="16"/>
      <c r="AI22" s="17" t="str">
        <f aca="false">IF(AND(AG22&lt;&gt;"",AH22&lt;&gt;""),(AG22+AH22)/2,"")</f>
        <v/>
      </c>
      <c r="AJ22" s="15" t="s">
        <v>136</v>
      </c>
      <c r="AK22" s="15"/>
    </row>
    <row r="23" customFormat="false" ht="15" hidden="false" customHeight="false" outlineLevel="0" collapsed="false">
      <c r="A23" s="2" t="n">
        <f aca="false">IF(E23&lt;&gt;"",ROW()-1,"")</f>
        <v>22</v>
      </c>
      <c r="B23" s="3" t="s">
        <v>67</v>
      </c>
      <c r="C23" s="3" t="s">
        <v>68</v>
      </c>
      <c r="D23" s="3" t="s">
        <v>63</v>
      </c>
      <c r="E23" s="4" t="s">
        <v>137</v>
      </c>
      <c r="F23" s="4" t="s">
        <v>138</v>
      </c>
      <c r="G23" s="5"/>
      <c r="H23" s="4"/>
      <c r="I23" s="4" t="n">
        <v>3</v>
      </c>
      <c r="J23" s="4"/>
      <c r="K23" s="4"/>
      <c r="L23" s="6" t="str">
        <f aca="false">IF(AND(G23&lt;&gt;"",H23&gt;0),ROUND(G23/H23,0),"")</f>
        <v/>
      </c>
      <c r="M23" s="6" t="n">
        <f aca="false">IF(F23&lt;&gt;"",IFERROR(VLOOKUP(F23,TablaRef,2,FALSE()),"?"),"")</f>
        <v>2150</v>
      </c>
      <c r="N23" s="7" t="str">
        <f aca="false">IF(AND(L23&lt;&gt;"",M23&lt;&gt;"",ISNUMBER(M23)),IF(L23&lt;M23*(1-MargenPct),"🟢",IF(L23&gt;M23*(1+MargenPct),"🔴","🟡")),"")</f>
        <v/>
      </c>
      <c r="O23" s="8" t="str">
        <f aca="false">IF(G23&lt;&gt;"",W23+X23+Y23+Z23+AB23+AC23+AD23,"")</f>
        <v/>
      </c>
      <c r="P23" s="9" t="str">
        <f aca="false">IF(G23&lt;&gt;"",IF(O23&lt;=Presupuesto,"✓","✗"),"")</f>
        <v/>
      </c>
      <c r="Q23" s="10" t="str">
        <f aca="false">IF(G23&lt;&gt;"",Presupuesto-O23,"")</f>
        <v/>
      </c>
      <c r="R23" s="11"/>
      <c r="S23" s="11"/>
      <c r="T23" s="12"/>
      <c r="U23" s="12"/>
      <c r="V23" s="11"/>
      <c r="W23" s="13" t="str">
        <f aca="false">IF(G23&lt;&gt;"",MAX(G23-Credito,G23*0.1),"")</f>
        <v/>
      </c>
      <c r="X23" s="13" t="str">
        <f aca="false">IF(G23&lt;&gt;"",ROUND(G23*0.02*1.21,0),"")</f>
        <v/>
      </c>
      <c r="Y23" s="13" t="str">
        <f aca="false">IF(G23&lt;&gt;"",IF(G23&lt;=140000,0,ROUND(G23*0.0175,0)),"")</f>
        <v/>
      </c>
      <c r="Z23" s="13" t="str">
        <f aca="false">IF(G23&lt;&gt;"",ROUND(G23*0.004,0),"")</f>
        <v/>
      </c>
      <c r="AA23" s="14"/>
      <c r="AB23" s="13" t="str">
        <f aca="false">IF(G23&lt;&gt;"",IF(AA23="Sí",ROUND(G23*0.04*1.21,0),0),"")</f>
        <v/>
      </c>
      <c r="AC23" s="13" t="str">
        <f aca="false">IF(G23&lt;&gt;"",ROUND(G23*0.01,0),"")</f>
        <v/>
      </c>
      <c r="AD23" s="13" t="str">
        <f aca="false">IF(G23&lt;&gt;"",300,"")</f>
        <v/>
      </c>
      <c r="AE23" s="15"/>
      <c r="AF23" s="15" t="s">
        <v>139</v>
      </c>
      <c r="AG23" s="16"/>
      <c r="AH23" s="16"/>
      <c r="AI23" s="17" t="str">
        <f aca="false">IF(AND(AG23&lt;&gt;"",AH23&lt;&gt;""),(AG23+AH23)/2,"")</f>
        <v/>
      </c>
      <c r="AJ23" s="15" t="s">
        <v>96</v>
      </c>
      <c r="AK23" s="15" t="s">
        <v>140</v>
      </c>
    </row>
    <row r="24" customFormat="false" ht="15" hidden="false" customHeight="false" outlineLevel="0" collapsed="false">
      <c r="A24" s="2" t="str">
        <f aca="false">IF(E24&lt;&gt;"",ROW()-1,"")</f>
        <v/>
      </c>
      <c r="B24" s="3"/>
      <c r="C24" s="3"/>
      <c r="D24" s="3"/>
      <c r="E24" s="4"/>
      <c r="F24" s="4"/>
      <c r="G24" s="5"/>
      <c r="H24" s="4"/>
      <c r="I24" s="4"/>
      <c r="J24" s="4"/>
      <c r="K24" s="4"/>
      <c r="L24" s="6" t="str">
        <f aca="false">IF(AND(G24&lt;&gt;"",H24&gt;0),ROUND(G24/H24,0),"")</f>
        <v/>
      </c>
      <c r="M24" s="6" t="str">
        <f aca="false">IF(F24&lt;&gt;"",IFERROR(VLOOKUP(F24,TablaRef,2,FALSE()),"?"),"")</f>
        <v/>
      </c>
      <c r="N24" s="7" t="str">
        <f aca="false">IF(AND(L24&lt;&gt;"",M24&lt;&gt;"",ISNUMBER(M24)),IF(L24&lt;M24*(1-MargenPct),"🟢",IF(L24&gt;M24*(1+MargenPct),"🔴","🟡")),"")</f>
        <v/>
      </c>
      <c r="O24" s="8" t="str">
        <f aca="false">IF(G24&lt;&gt;"",W24+X24+Y24+Z24+AB24+AC24+AD24,"")</f>
        <v/>
      </c>
      <c r="P24" s="9" t="str">
        <f aca="false">IF(G24&lt;&gt;"",IF(O24&lt;=Presupuesto,"✓","✗"),"")</f>
        <v/>
      </c>
      <c r="Q24" s="10" t="str">
        <f aca="false">IF(G24&lt;&gt;"",Presupuesto-O24,"")</f>
        <v/>
      </c>
      <c r="R24" s="11"/>
      <c r="S24" s="11"/>
      <c r="T24" s="12"/>
      <c r="U24" s="12"/>
      <c r="V24" s="11"/>
      <c r="W24" s="13" t="str">
        <f aca="false">IF(G24&lt;&gt;"",MAX(G24-Credito,G24*0.1),"")</f>
        <v/>
      </c>
      <c r="X24" s="13" t="str">
        <f aca="false">IF(G24&lt;&gt;"",ROUND(G24*0.02*1.21,0),"")</f>
        <v/>
      </c>
      <c r="Y24" s="13" t="str">
        <f aca="false">IF(G24&lt;&gt;"",IF(G24&lt;=140000,0,ROUND(G24*0.0175,0)),"")</f>
        <v/>
      </c>
      <c r="Z24" s="13" t="str">
        <f aca="false">IF(G24&lt;&gt;"",ROUND(G24*0.004,0),"")</f>
        <v/>
      </c>
      <c r="AA24" s="14"/>
      <c r="AB24" s="13" t="str">
        <f aca="false">IF(G24&lt;&gt;"",IF(AA24="Sí",ROUND(G24*0.04*1.21,0),0),"")</f>
        <v/>
      </c>
      <c r="AC24" s="13" t="str">
        <f aca="false">IF(G24&lt;&gt;"",ROUND(G24*0.01,0),"")</f>
        <v/>
      </c>
      <c r="AD24" s="13" t="str">
        <f aca="false">IF(G24&lt;&gt;"",300,"")</f>
        <v/>
      </c>
      <c r="AE24" s="15"/>
      <c r="AF24" s="15"/>
      <c r="AG24" s="16"/>
      <c r="AH24" s="16"/>
      <c r="AI24" s="17" t="str">
        <f aca="false">IF(AND(AG24&lt;&gt;"",AH24&lt;&gt;""),(AG24+AH24)/2,"")</f>
        <v/>
      </c>
      <c r="AJ24" s="15"/>
      <c r="AK24" s="15"/>
    </row>
    <row r="25" customFormat="false" ht="15" hidden="false" customHeight="false" outlineLevel="0" collapsed="false">
      <c r="A25" s="2" t="str">
        <f aca="false">IF(E25&lt;&gt;"",ROW()-1,"")</f>
        <v/>
      </c>
      <c r="B25" s="3"/>
      <c r="C25" s="3"/>
      <c r="D25" s="3"/>
      <c r="E25" s="4"/>
      <c r="F25" s="4"/>
      <c r="G25" s="5"/>
      <c r="H25" s="4"/>
      <c r="I25" s="4"/>
      <c r="J25" s="4"/>
      <c r="K25" s="4"/>
      <c r="L25" s="6" t="str">
        <f aca="false">IF(AND(G25&lt;&gt;"",H25&gt;0),ROUND(G25/H25,0),"")</f>
        <v/>
      </c>
      <c r="M25" s="6" t="str">
        <f aca="false">IF(F25&lt;&gt;"",IFERROR(VLOOKUP(F25,TablaRef,2,FALSE()),"?"),"")</f>
        <v/>
      </c>
      <c r="N25" s="7" t="str">
        <f aca="false">IF(AND(L25&lt;&gt;"",M25&lt;&gt;"",ISNUMBER(M25)),IF(L25&lt;M25*(1-MargenPct),"🟢",IF(L25&gt;M25*(1+MargenPct),"🔴","🟡")),"")</f>
        <v/>
      </c>
      <c r="O25" s="8" t="str">
        <f aca="false">IF(G25&lt;&gt;"",W25+X25+Y25+Z25+AB25+AC25+AD25,"")</f>
        <v/>
      </c>
      <c r="P25" s="9" t="str">
        <f aca="false">IF(G25&lt;&gt;"",IF(O25&lt;=Presupuesto,"✓","✗"),"")</f>
        <v/>
      </c>
      <c r="Q25" s="10" t="str">
        <f aca="false">IF(G25&lt;&gt;"",Presupuesto-O25,"")</f>
        <v/>
      </c>
      <c r="R25" s="11"/>
      <c r="S25" s="11"/>
      <c r="T25" s="12"/>
      <c r="U25" s="12"/>
      <c r="V25" s="11"/>
      <c r="W25" s="13" t="str">
        <f aca="false">IF(G25&lt;&gt;"",MAX(G25-Credito,G25*0.1),"")</f>
        <v/>
      </c>
      <c r="X25" s="13" t="str">
        <f aca="false">IF(G25&lt;&gt;"",ROUND(G25*0.02*1.21,0),"")</f>
        <v/>
      </c>
      <c r="Y25" s="13" t="str">
        <f aca="false">IF(G25&lt;&gt;"",IF(G25&lt;=140000,0,ROUND(G25*0.0175,0)),"")</f>
        <v/>
      </c>
      <c r="Z25" s="13" t="str">
        <f aca="false">IF(G25&lt;&gt;"",ROUND(G25*0.004,0),"")</f>
        <v/>
      </c>
      <c r="AA25" s="14"/>
      <c r="AB25" s="13" t="str">
        <f aca="false">IF(G25&lt;&gt;"",IF(AA25="Sí",ROUND(G25*0.04*1.21,0),0),"")</f>
        <v/>
      </c>
      <c r="AC25" s="13" t="str">
        <f aca="false">IF(G25&lt;&gt;"",ROUND(G25*0.01,0),"")</f>
        <v/>
      </c>
      <c r="AD25" s="13" t="str">
        <f aca="false">IF(G25&lt;&gt;"",300,"")</f>
        <v/>
      </c>
      <c r="AE25" s="15"/>
      <c r="AF25" s="15"/>
      <c r="AG25" s="16"/>
      <c r="AH25" s="16"/>
      <c r="AI25" s="17" t="str">
        <f aca="false">IF(AND(AG25&lt;&gt;"",AH25&lt;&gt;""),(AG25+AH25)/2,"")</f>
        <v/>
      </c>
      <c r="AJ25" s="15"/>
      <c r="AK25" s="15"/>
    </row>
    <row r="26" customFormat="false" ht="15" hidden="false" customHeight="false" outlineLevel="0" collapsed="false">
      <c r="A26" s="2" t="str">
        <f aca="false">IF(E26&lt;&gt;"",ROW()-1,"")</f>
        <v/>
      </c>
      <c r="B26" s="3"/>
      <c r="C26" s="3"/>
      <c r="D26" s="3"/>
      <c r="E26" s="4"/>
      <c r="F26" s="4"/>
      <c r="G26" s="5"/>
      <c r="H26" s="4"/>
      <c r="I26" s="4"/>
      <c r="J26" s="4"/>
      <c r="K26" s="4"/>
      <c r="L26" s="6" t="str">
        <f aca="false">IF(AND(G26&lt;&gt;"",H26&gt;0),ROUND(G26/H26,0),"")</f>
        <v/>
      </c>
      <c r="M26" s="6" t="str">
        <f aca="false">IF(F26&lt;&gt;"",IFERROR(VLOOKUP(F26,TablaRef,2,FALSE()),"?"),"")</f>
        <v/>
      </c>
      <c r="N26" s="7" t="str">
        <f aca="false">IF(AND(L26&lt;&gt;"",M26&lt;&gt;"",ISNUMBER(M26)),IF(L26&lt;M26*(1-MargenPct),"🟢",IF(L26&gt;M26*(1+MargenPct),"🔴","🟡")),"")</f>
        <v/>
      </c>
      <c r="O26" s="8" t="str">
        <f aca="false">IF(G26&lt;&gt;"",W26+X26+Y26+Z26+AB26+AC26+AD26,"")</f>
        <v/>
      </c>
      <c r="P26" s="9" t="str">
        <f aca="false">IF(G26&lt;&gt;"",IF(O26&lt;=Presupuesto,"✓","✗"),"")</f>
        <v/>
      </c>
      <c r="Q26" s="10" t="str">
        <f aca="false">IF(G26&lt;&gt;"",Presupuesto-O26,"")</f>
        <v/>
      </c>
      <c r="R26" s="11"/>
      <c r="S26" s="11"/>
      <c r="T26" s="12"/>
      <c r="U26" s="12"/>
      <c r="V26" s="11"/>
      <c r="W26" s="13" t="str">
        <f aca="false">IF(G26&lt;&gt;"",MAX(G26-Credito,G26*0.1),"")</f>
        <v/>
      </c>
      <c r="X26" s="13" t="str">
        <f aca="false">IF(G26&lt;&gt;"",ROUND(G26*0.02*1.21,0),"")</f>
        <v/>
      </c>
      <c r="Y26" s="13" t="str">
        <f aca="false">IF(G26&lt;&gt;"",IF(G26&lt;=140000,0,ROUND(G26*0.0175,0)),"")</f>
        <v/>
      </c>
      <c r="Z26" s="13" t="str">
        <f aca="false">IF(G26&lt;&gt;"",ROUND(G26*0.004,0),"")</f>
        <v/>
      </c>
      <c r="AA26" s="14"/>
      <c r="AB26" s="13" t="str">
        <f aca="false">IF(G26&lt;&gt;"",IF(AA26="Sí",ROUND(G26*0.04*1.21,0),0),"")</f>
        <v/>
      </c>
      <c r="AC26" s="13" t="str">
        <f aca="false">IF(G26&lt;&gt;"",ROUND(G26*0.01,0),"")</f>
        <v/>
      </c>
      <c r="AD26" s="13" t="str">
        <f aca="false">IF(G26&lt;&gt;"",300,"")</f>
        <v/>
      </c>
      <c r="AE26" s="15"/>
      <c r="AF26" s="15"/>
      <c r="AG26" s="16"/>
      <c r="AH26" s="16"/>
      <c r="AI26" s="17" t="str">
        <f aca="false">IF(AND(AG26&lt;&gt;"",AH26&lt;&gt;""),(AG26+AH26)/2,"")</f>
        <v/>
      </c>
      <c r="AJ26" s="15"/>
      <c r="AK26" s="15"/>
    </row>
    <row r="27" customFormat="false" ht="15" hidden="false" customHeight="false" outlineLevel="0" collapsed="false">
      <c r="A27" s="2" t="str">
        <f aca="false">IF(E27&lt;&gt;"",ROW()-1,"")</f>
        <v/>
      </c>
      <c r="B27" s="3"/>
      <c r="C27" s="3"/>
      <c r="D27" s="3"/>
      <c r="E27" s="4"/>
      <c r="F27" s="4"/>
      <c r="G27" s="5"/>
      <c r="H27" s="4"/>
      <c r="I27" s="4"/>
      <c r="J27" s="4"/>
      <c r="K27" s="4"/>
      <c r="L27" s="6" t="str">
        <f aca="false">IF(AND(G27&lt;&gt;"",H27&gt;0),ROUND(G27/H27,0),"")</f>
        <v/>
      </c>
      <c r="M27" s="6" t="str">
        <f aca="false">IF(F27&lt;&gt;"",IFERROR(VLOOKUP(F27,TablaRef,2,FALSE()),"?"),"")</f>
        <v/>
      </c>
      <c r="N27" s="7" t="str">
        <f aca="false">IF(AND(L27&lt;&gt;"",M27&lt;&gt;"",ISNUMBER(M27)),IF(L27&lt;M27*(1-MargenPct),"🟢",IF(L27&gt;M27*(1+MargenPct),"🔴","🟡")),"")</f>
        <v/>
      </c>
      <c r="O27" s="8" t="str">
        <f aca="false">IF(G27&lt;&gt;"",W27+X27+Y27+Z27+AB27+AC27+AD27,"")</f>
        <v/>
      </c>
      <c r="P27" s="9" t="str">
        <f aca="false">IF(G27&lt;&gt;"",IF(O27&lt;=Presupuesto,"✓","✗"),"")</f>
        <v/>
      </c>
      <c r="Q27" s="10" t="str">
        <f aca="false">IF(G27&lt;&gt;"",Presupuesto-O27,"")</f>
        <v/>
      </c>
      <c r="R27" s="11"/>
      <c r="S27" s="11"/>
      <c r="T27" s="12"/>
      <c r="U27" s="12"/>
      <c r="V27" s="11"/>
      <c r="W27" s="13" t="str">
        <f aca="false">IF(G27&lt;&gt;"",MAX(G27-Credito,G27*0.1),"")</f>
        <v/>
      </c>
      <c r="X27" s="13" t="str">
        <f aca="false">IF(G27&lt;&gt;"",ROUND(G27*0.02*1.21,0),"")</f>
        <v/>
      </c>
      <c r="Y27" s="13" t="str">
        <f aca="false">IF(G27&lt;&gt;"",IF(G27&lt;=140000,0,ROUND(G27*0.0175,0)),"")</f>
        <v/>
      </c>
      <c r="Z27" s="13" t="str">
        <f aca="false">IF(G27&lt;&gt;"",ROUND(G27*0.004,0),"")</f>
        <v/>
      </c>
      <c r="AA27" s="14"/>
      <c r="AB27" s="13" t="str">
        <f aca="false">IF(G27&lt;&gt;"",IF(AA27="Sí",ROUND(G27*0.04*1.21,0),0),"")</f>
        <v/>
      </c>
      <c r="AC27" s="13" t="str">
        <f aca="false">IF(G27&lt;&gt;"",ROUND(G27*0.01,0),"")</f>
        <v/>
      </c>
      <c r="AD27" s="13" t="str">
        <f aca="false">IF(G27&lt;&gt;"",300,"")</f>
        <v/>
      </c>
      <c r="AE27" s="15"/>
      <c r="AF27" s="15"/>
      <c r="AG27" s="16"/>
      <c r="AH27" s="16"/>
      <c r="AI27" s="17" t="str">
        <f aca="false">IF(AND(AG27&lt;&gt;"",AH27&lt;&gt;""),(AG27+AH27)/2,"")</f>
        <v/>
      </c>
      <c r="AJ27" s="15"/>
      <c r="AK27" s="15"/>
    </row>
    <row r="28" customFormat="false" ht="15" hidden="false" customHeight="false" outlineLevel="0" collapsed="false">
      <c r="A28" s="2" t="str">
        <f aca="false">IF(E28&lt;&gt;"",ROW()-1,"")</f>
        <v/>
      </c>
      <c r="B28" s="3"/>
      <c r="C28" s="3"/>
      <c r="D28" s="3"/>
      <c r="E28" s="4"/>
      <c r="F28" s="4"/>
      <c r="G28" s="5"/>
      <c r="H28" s="4"/>
      <c r="I28" s="4"/>
      <c r="J28" s="4"/>
      <c r="K28" s="4"/>
      <c r="L28" s="6" t="str">
        <f aca="false">IF(AND(G28&lt;&gt;"",H28&gt;0),ROUND(G28/H28,0),"")</f>
        <v/>
      </c>
      <c r="M28" s="6" t="str">
        <f aca="false">IF(F28&lt;&gt;"",IFERROR(VLOOKUP(F28,TablaRef,2,FALSE()),"?"),"")</f>
        <v/>
      </c>
      <c r="N28" s="7" t="str">
        <f aca="false">IF(AND(L28&lt;&gt;"",M28&lt;&gt;"",ISNUMBER(M28)),IF(L28&lt;M28*(1-MargenPct),"🟢",IF(L28&gt;M28*(1+MargenPct),"🔴","🟡")),"")</f>
        <v/>
      </c>
      <c r="O28" s="8" t="str">
        <f aca="false">IF(G28&lt;&gt;"",W28+X28+Y28+Z28+AB28+AC28+AD28,"")</f>
        <v/>
      </c>
      <c r="P28" s="9" t="str">
        <f aca="false">IF(G28&lt;&gt;"",IF(O28&lt;=Presupuesto,"✓","✗"),"")</f>
        <v/>
      </c>
      <c r="Q28" s="10" t="str">
        <f aca="false">IF(G28&lt;&gt;"",Presupuesto-O28,"")</f>
        <v/>
      </c>
      <c r="R28" s="11"/>
      <c r="S28" s="11"/>
      <c r="T28" s="12"/>
      <c r="U28" s="12"/>
      <c r="V28" s="11"/>
      <c r="W28" s="13" t="str">
        <f aca="false">IF(G28&lt;&gt;"",MAX(G28-Credito,G28*0.1),"")</f>
        <v/>
      </c>
      <c r="X28" s="13" t="str">
        <f aca="false">IF(G28&lt;&gt;"",ROUND(G28*0.02*1.21,0),"")</f>
        <v/>
      </c>
      <c r="Y28" s="13" t="str">
        <f aca="false">IF(G28&lt;&gt;"",IF(G28&lt;=140000,0,ROUND(G28*0.0175,0)),"")</f>
        <v/>
      </c>
      <c r="Z28" s="13" t="str">
        <f aca="false">IF(G28&lt;&gt;"",ROUND(G28*0.004,0),"")</f>
        <v/>
      </c>
      <c r="AA28" s="14"/>
      <c r="AB28" s="13" t="str">
        <f aca="false">IF(G28&lt;&gt;"",IF(AA28="Sí",ROUND(G28*0.04*1.21,0),0),"")</f>
        <v/>
      </c>
      <c r="AC28" s="13" t="str">
        <f aca="false">IF(G28&lt;&gt;"",ROUND(G28*0.01,0),"")</f>
        <v/>
      </c>
      <c r="AD28" s="13" t="str">
        <f aca="false">IF(G28&lt;&gt;"",300,"")</f>
        <v/>
      </c>
      <c r="AE28" s="15"/>
      <c r="AF28" s="15"/>
      <c r="AG28" s="16"/>
      <c r="AH28" s="16"/>
      <c r="AI28" s="17" t="str">
        <f aca="false">IF(AND(AG28&lt;&gt;"",AH28&lt;&gt;""),(AG28+AH28)/2,"")</f>
        <v/>
      </c>
      <c r="AJ28" s="15"/>
      <c r="AK28" s="15"/>
    </row>
    <row r="29" customFormat="false" ht="15" hidden="false" customHeight="false" outlineLevel="0" collapsed="false">
      <c r="A29" s="2" t="str">
        <f aca="false">IF(E29&lt;&gt;"",ROW()-1,"")</f>
        <v/>
      </c>
      <c r="B29" s="3"/>
      <c r="C29" s="3"/>
      <c r="D29" s="3"/>
      <c r="E29" s="4"/>
      <c r="F29" s="4"/>
      <c r="G29" s="5"/>
      <c r="H29" s="4"/>
      <c r="I29" s="4"/>
      <c r="J29" s="4"/>
      <c r="K29" s="4"/>
      <c r="L29" s="6" t="str">
        <f aca="false">IF(AND(G29&lt;&gt;"",H29&gt;0),ROUND(G29/H29,0),"")</f>
        <v/>
      </c>
      <c r="M29" s="6" t="str">
        <f aca="false">IF(F29&lt;&gt;"",IFERROR(VLOOKUP(F29,TablaRef,2,FALSE()),"?"),"")</f>
        <v/>
      </c>
      <c r="N29" s="7" t="str">
        <f aca="false">IF(AND(L29&lt;&gt;"",M29&lt;&gt;"",ISNUMBER(M29)),IF(L29&lt;M29*(1-MargenPct),"🟢",IF(L29&gt;M29*(1+MargenPct),"🔴","🟡")),"")</f>
        <v/>
      </c>
      <c r="O29" s="8" t="str">
        <f aca="false">IF(G29&lt;&gt;"",W29+X29+Y29+Z29+AB29+AC29+AD29,"")</f>
        <v/>
      </c>
      <c r="P29" s="9" t="str">
        <f aca="false">IF(G29&lt;&gt;"",IF(O29&lt;=Presupuesto,"✓","✗"),"")</f>
        <v/>
      </c>
      <c r="Q29" s="10" t="str">
        <f aca="false">IF(G29&lt;&gt;"",Presupuesto-O29,"")</f>
        <v/>
      </c>
      <c r="R29" s="11"/>
      <c r="S29" s="11"/>
      <c r="T29" s="12"/>
      <c r="U29" s="12"/>
      <c r="V29" s="11"/>
      <c r="W29" s="13" t="str">
        <f aca="false">IF(G29&lt;&gt;"",MAX(G29-Credito,G29*0.1),"")</f>
        <v/>
      </c>
      <c r="X29" s="13" t="str">
        <f aca="false">IF(G29&lt;&gt;"",ROUND(G29*0.02*1.21,0),"")</f>
        <v/>
      </c>
      <c r="Y29" s="13" t="str">
        <f aca="false">IF(G29&lt;&gt;"",IF(G29&lt;=140000,0,ROUND(G29*0.0175,0)),"")</f>
        <v/>
      </c>
      <c r="Z29" s="13" t="str">
        <f aca="false">IF(G29&lt;&gt;"",ROUND(G29*0.004,0),"")</f>
        <v/>
      </c>
      <c r="AA29" s="14"/>
      <c r="AB29" s="13" t="str">
        <f aca="false">IF(G29&lt;&gt;"",IF(AA29="Sí",ROUND(G29*0.04*1.21,0),0),"")</f>
        <v/>
      </c>
      <c r="AC29" s="13" t="str">
        <f aca="false">IF(G29&lt;&gt;"",ROUND(G29*0.01,0),"")</f>
        <v/>
      </c>
      <c r="AD29" s="13" t="str">
        <f aca="false">IF(G29&lt;&gt;"",300,"")</f>
        <v/>
      </c>
      <c r="AE29" s="15"/>
      <c r="AF29" s="15"/>
      <c r="AG29" s="16"/>
      <c r="AH29" s="16"/>
      <c r="AI29" s="17" t="str">
        <f aca="false">IF(AND(AG29&lt;&gt;"",AH29&lt;&gt;""),(AG29+AH29)/2,"")</f>
        <v/>
      </c>
      <c r="AJ29" s="15"/>
      <c r="AK29" s="15"/>
    </row>
    <row r="30" customFormat="false" ht="15" hidden="false" customHeight="false" outlineLevel="0" collapsed="false">
      <c r="A30" s="2" t="str">
        <f aca="false">IF(E30&lt;&gt;"",ROW()-1,"")</f>
        <v/>
      </c>
      <c r="B30" s="3"/>
      <c r="C30" s="3"/>
      <c r="D30" s="3"/>
      <c r="E30" s="4"/>
      <c r="F30" s="4"/>
      <c r="G30" s="5"/>
      <c r="H30" s="4"/>
      <c r="I30" s="4"/>
      <c r="J30" s="4"/>
      <c r="K30" s="4"/>
      <c r="L30" s="6" t="str">
        <f aca="false">IF(AND(G30&lt;&gt;"",H30&gt;0),ROUND(G30/H30,0),"")</f>
        <v/>
      </c>
      <c r="M30" s="6" t="str">
        <f aca="false">IF(F30&lt;&gt;"",IFERROR(VLOOKUP(F30,TablaRef,2,FALSE()),"?"),"")</f>
        <v/>
      </c>
      <c r="N30" s="7" t="str">
        <f aca="false">IF(AND(L30&lt;&gt;"",M30&lt;&gt;"",ISNUMBER(M30)),IF(L30&lt;M30*(1-MargenPct),"🟢",IF(L30&gt;M30*(1+MargenPct),"🔴","🟡")),"")</f>
        <v/>
      </c>
      <c r="O30" s="8" t="str">
        <f aca="false">IF(G30&lt;&gt;"",W30+X30+Y30+Z30+AB30+AC30+AD30,"")</f>
        <v/>
      </c>
      <c r="P30" s="9" t="str">
        <f aca="false">IF(G30&lt;&gt;"",IF(O30&lt;=Presupuesto,"✓","✗"),"")</f>
        <v/>
      </c>
      <c r="Q30" s="10" t="str">
        <f aca="false">IF(G30&lt;&gt;"",Presupuesto-O30,"")</f>
        <v/>
      </c>
      <c r="R30" s="11"/>
      <c r="S30" s="11"/>
      <c r="T30" s="12"/>
      <c r="U30" s="12"/>
      <c r="V30" s="11"/>
      <c r="W30" s="13" t="str">
        <f aca="false">IF(G30&lt;&gt;"",MAX(G30-Credito,G30*0.1),"")</f>
        <v/>
      </c>
      <c r="X30" s="13" t="str">
        <f aca="false">IF(G30&lt;&gt;"",ROUND(G30*0.02*1.21,0),"")</f>
        <v/>
      </c>
      <c r="Y30" s="13" t="str">
        <f aca="false">IF(G30&lt;&gt;"",IF(G30&lt;=140000,0,ROUND(G30*0.0175,0)),"")</f>
        <v/>
      </c>
      <c r="Z30" s="13" t="str">
        <f aca="false">IF(G30&lt;&gt;"",ROUND(G30*0.004,0),"")</f>
        <v/>
      </c>
      <c r="AA30" s="14"/>
      <c r="AB30" s="13" t="str">
        <f aca="false">IF(G30&lt;&gt;"",IF(AA30="Sí",ROUND(G30*0.04*1.21,0),0),"")</f>
        <v/>
      </c>
      <c r="AC30" s="13" t="str">
        <f aca="false">IF(G30&lt;&gt;"",ROUND(G30*0.01,0),"")</f>
        <v/>
      </c>
      <c r="AD30" s="13" t="str">
        <f aca="false">IF(G30&lt;&gt;"",300,"")</f>
        <v/>
      </c>
      <c r="AE30" s="15"/>
      <c r="AF30" s="15"/>
      <c r="AG30" s="16"/>
      <c r="AH30" s="16"/>
      <c r="AI30" s="17" t="str">
        <f aca="false">IF(AND(AG30&lt;&gt;"",AH30&lt;&gt;""),(AG30+AH30)/2,"")</f>
        <v/>
      </c>
      <c r="AJ30" s="15"/>
      <c r="AK30" s="15"/>
    </row>
    <row r="31" customFormat="false" ht="15" hidden="false" customHeight="false" outlineLevel="0" collapsed="false">
      <c r="A31" s="2" t="str">
        <f aca="false">IF(E31&lt;&gt;"",ROW()-1,"")</f>
        <v/>
      </c>
      <c r="B31" s="3"/>
      <c r="C31" s="3"/>
      <c r="D31" s="3"/>
      <c r="E31" s="4"/>
      <c r="F31" s="4"/>
      <c r="G31" s="5"/>
      <c r="H31" s="4"/>
      <c r="I31" s="4"/>
      <c r="J31" s="4"/>
      <c r="K31" s="4"/>
      <c r="L31" s="6" t="str">
        <f aca="false">IF(AND(G31&lt;&gt;"",H31&gt;0),ROUND(G31/H31,0),"")</f>
        <v/>
      </c>
      <c r="M31" s="6" t="str">
        <f aca="false">IF(F31&lt;&gt;"",IFERROR(VLOOKUP(F31,TablaRef,2,FALSE()),"?"),"")</f>
        <v/>
      </c>
      <c r="N31" s="7" t="str">
        <f aca="false">IF(AND(L31&lt;&gt;"",M31&lt;&gt;"",ISNUMBER(M31)),IF(L31&lt;M31*(1-MargenPct),"🟢",IF(L31&gt;M31*(1+MargenPct),"🔴","🟡")),"")</f>
        <v/>
      </c>
      <c r="O31" s="8" t="str">
        <f aca="false">IF(G31&lt;&gt;"",W31+X31+Y31+Z31+AB31+AC31+AD31,"")</f>
        <v/>
      </c>
      <c r="P31" s="9" t="str">
        <f aca="false">IF(G31&lt;&gt;"",IF(O31&lt;=Presupuesto,"✓","✗"),"")</f>
        <v/>
      </c>
      <c r="Q31" s="10" t="str">
        <f aca="false">IF(G31&lt;&gt;"",Presupuesto-O31,"")</f>
        <v/>
      </c>
      <c r="R31" s="11"/>
      <c r="S31" s="11"/>
      <c r="T31" s="12"/>
      <c r="U31" s="12"/>
      <c r="V31" s="11"/>
      <c r="W31" s="13" t="str">
        <f aca="false">IF(G31&lt;&gt;"",MAX(G31-Credito,G31*0.1),"")</f>
        <v/>
      </c>
      <c r="X31" s="13" t="str">
        <f aca="false">IF(G31&lt;&gt;"",ROUND(G31*0.02*1.21,0),"")</f>
        <v/>
      </c>
      <c r="Y31" s="13" t="str">
        <f aca="false">IF(G31&lt;&gt;"",IF(G31&lt;=140000,0,ROUND(G31*0.0175,0)),"")</f>
        <v/>
      </c>
      <c r="Z31" s="13" t="str">
        <f aca="false">IF(G31&lt;&gt;"",ROUND(G31*0.004,0),"")</f>
        <v/>
      </c>
      <c r="AA31" s="14"/>
      <c r="AB31" s="13" t="str">
        <f aca="false">IF(G31&lt;&gt;"",IF(AA31="Sí",ROUND(G31*0.04*1.21,0),0),"")</f>
        <v/>
      </c>
      <c r="AC31" s="13" t="str">
        <f aca="false">IF(G31&lt;&gt;"",ROUND(G31*0.01,0),"")</f>
        <v/>
      </c>
      <c r="AD31" s="13" t="str">
        <f aca="false">IF(G31&lt;&gt;"",300,"")</f>
        <v/>
      </c>
      <c r="AE31" s="15"/>
      <c r="AF31" s="15"/>
      <c r="AG31" s="16"/>
      <c r="AH31" s="16"/>
      <c r="AI31" s="17" t="str">
        <f aca="false">IF(AND(AG31&lt;&gt;"",AH31&lt;&gt;""),(AG31+AH31)/2,"")</f>
        <v/>
      </c>
      <c r="AJ31" s="15"/>
      <c r="AK31" s="15"/>
    </row>
    <row r="32" customFormat="false" ht="15" hidden="false" customHeight="false" outlineLevel="0" collapsed="false">
      <c r="A32" s="2" t="str">
        <f aca="false">IF(E32&lt;&gt;"",ROW()-1,"")</f>
        <v/>
      </c>
      <c r="B32" s="3"/>
      <c r="C32" s="3"/>
      <c r="D32" s="3"/>
      <c r="E32" s="4"/>
      <c r="F32" s="4"/>
      <c r="G32" s="5"/>
      <c r="H32" s="4"/>
      <c r="I32" s="4"/>
      <c r="J32" s="4"/>
      <c r="K32" s="4"/>
      <c r="L32" s="6" t="str">
        <f aca="false">IF(AND(G32&lt;&gt;"",H32&gt;0),ROUND(G32/H32,0),"")</f>
        <v/>
      </c>
      <c r="M32" s="6" t="str">
        <f aca="false">IF(F32&lt;&gt;"",IFERROR(VLOOKUP(F32,TablaRef,2,FALSE()),"?"),"")</f>
        <v/>
      </c>
      <c r="N32" s="7" t="str">
        <f aca="false">IF(AND(L32&lt;&gt;"",M32&lt;&gt;"",ISNUMBER(M32)),IF(L32&lt;M32*(1-MargenPct),"🟢",IF(L32&gt;M32*(1+MargenPct),"🔴","🟡")),"")</f>
        <v/>
      </c>
      <c r="O32" s="8" t="str">
        <f aca="false">IF(G32&lt;&gt;"",W32+X32+Y32+Z32+AB32+AC32+AD32,"")</f>
        <v/>
      </c>
      <c r="P32" s="9" t="str">
        <f aca="false">IF(G32&lt;&gt;"",IF(O32&lt;=Presupuesto,"✓","✗"),"")</f>
        <v/>
      </c>
      <c r="Q32" s="10" t="str">
        <f aca="false">IF(G32&lt;&gt;"",Presupuesto-O32,"")</f>
        <v/>
      </c>
      <c r="R32" s="11"/>
      <c r="S32" s="11"/>
      <c r="T32" s="12"/>
      <c r="U32" s="12"/>
      <c r="V32" s="11"/>
      <c r="W32" s="13" t="str">
        <f aca="false">IF(G32&lt;&gt;"",MAX(G32-Credito,G32*0.1),"")</f>
        <v/>
      </c>
      <c r="X32" s="13" t="str">
        <f aca="false">IF(G32&lt;&gt;"",ROUND(G32*0.02*1.21,0),"")</f>
        <v/>
      </c>
      <c r="Y32" s="13" t="str">
        <f aca="false">IF(G32&lt;&gt;"",IF(G32&lt;=140000,0,ROUND(G32*0.0175,0)),"")</f>
        <v/>
      </c>
      <c r="Z32" s="13" t="str">
        <f aca="false">IF(G32&lt;&gt;"",ROUND(G32*0.004,0),"")</f>
        <v/>
      </c>
      <c r="AA32" s="14"/>
      <c r="AB32" s="13" t="str">
        <f aca="false">IF(G32&lt;&gt;"",IF(AA32="Sí",ROUND(G32*0.04*1.21,0),0),"")</f>
        <v/>
      </c>
      <c r="AC32" s="13" t="str">
        <f aca="false">IF(G32&lt;&gt;"",ROUND(G32*0.01,0),"")</f>
        <v/>
      </c>
      <c r="AD32" s="13" t="str">
        <f aca="false">IF(G32&lt;&gt;"",300,"")</f>
        <v/>
      </c>
      <c r="AE32" s="15"/>
      <c r="AF32" s="15"/>
      <c r="AG32" s="16"/>
      <c r="AH32" s="16"/>
      <c r="AI32" s="17" t="str">
        <f aca="false">IF(AND(AG32&lt;&gt;"",AH32&lt;&gt;""),(AG32+AH32)/2,"")</f>
        <v/>
      </c>
      <c r="AJ32" s="15"/>
      <c r="AK32" s="15"/>
    </row>
    <row r="33" customFormat="false" ht="15" hidden="false" customHeight="false" outlineLevel="0" collapsed="false">
      <c r="A33" s="2" t="str">
        <f aca="false">IF(E33&lt;&gt;"",ROW()-1,"")</f>
        <v/>
      </c>
      <c r="B33" s="3"/>
      <c r="C33" s="3"/>
      <c r="D33" s="3"/>
      <c r="E33" s="4"/>
      <c r="F33" s="4"/>
      <c r="G33" s="5"/>
      <c r="H33" s="4"/>
      <c r="I33" s="4"/>
      <c r="J33" s="4"/>
      <c r="K33" s="4"/>
      <c r="L33" s="6" t="str">
        <f aca="false">IF(AND(G33&lt;&gt;"",H33&gt;0),ROUND(G33/H33,0),"")</f>
        <v/>
      </c>
      <c r="M33" s="6" t="str">
        <f aca="false">IF(F33&lt;&gt;"",IFERROR(VLOOKUP(F33,TablaRef,2,FALSE()),"?"),"")</f>
        <v/>
      </c>
      <c r="N33" s="7" t="str">
        <f aca="false">IF(AND(L33&lt;&gt;"",M33&lt;&gt;"",ISNUMBER(M33)),IF(L33&lt;M33*(1-MargenPct),"🟢",IF(L33&gt;M33*(1+MargenPct),"🔴","🟡")),"")</f>
        <v/>
      </c>
      <c r="O33" s="8" t="str">
        <f aca="false">IF(G33&lt;&gt;"",W33+X33+Y33+Z33+AB33+AC33+AD33,"")</f>
        <v/>
      </c>
      <c r="P33" s="9" t="str">
        <f aca="false">IF(G33&lt;&gt;"",IF(O33&lt;=Presupuesto,"✓","✗"),"")</f>
        <v/>
      </c>
      <c r="Q33" s="10" t="str">
        <f aca="false">IF(G33&lt;&gt;"",Presupuesto-O33,"")</f>
        <v/>
      </c>
      <c r="R33" s="11"/>
      <c r="S33" s="11"/>
      <c r="T33" s="12"/>
      <c r="U33" s="12"/>
      <c r="V33" s="11"/>
      <c r="W33" s="13" t="str">
        <f aca="false">IF(G33&lt;&gt;"",MAX(G33-Credito,G33*0.1),"")</f>
        <v/>
      </c>
      <c r="X33" s="13" t="str">
        <f aca="false">IF(G33&lt;&gt;"",ROUND(G33*0.02*1.21,0),"")</f>
        <v/>
      </c>
      <c r="Y33" s="13" t="str">
        <f aca="false">IF(G33&lt;&gt;"",IF(G33&lt;=140000,0,ROUND(G33*0.0175,0)),"")</f>
        <v/>
      </c>
      <c r="Z33" s="13" t="str">
        <f aca="false">IF(G33&lt;&gt;"",ROUND(G33*0.004,0),"")</f>
        <v/>
      </c>
      <c r="AA33" s="14"/>
      <c r="AB33" s="13" t="str">
        <f aca="false">IF(G33&lt;&gt;"",IF(AA33="Sí",ROUND(G33*0.04*1.21,0),0),"")</f>
        <v/>
      </c>
      <c r="AC33" s="13" t="str">
        <f aca="false">IF(G33&lt;&gt;"",ROUND(G33*0.01,0),"")</f>
        <v/>
      </c>
      <c r="AD33" s="13" t="str">
        <f aca="false">IF(G33&lt;&gt;"",300,"")</f>
        <v/>
      </c>
      <c r="AE33" s="15"/>
      <c r="AF33" s="15"/>
      <c r="AG33" s="16"/>
      <c r="AH33" s="16"/>
      <c r="AI33" s="17" t="str">
        <f aca="false">IF(AND(AG33&lt;&gt;"",AH33&lt;&gt;""),(AG33+AH33)/2,"")</f>
        <v/>
      </c>
      <c r="AJ33" s="15"/>
      <c r="AK33" s="15"/>
    </row>
    <row r="34" customFormat="false" ht="15" hidden="false" customHeight="false" outlineLevel="0" collapsed="false">
      <c r="A34" s="2" t="str">
        <f aca="false">IF(E34&lt;&gt;"",ROW()-1,"")</f>
        <v/>
      </c>
      <c r="B34" s="3"/>
      <c r="C34" s="3"/>
      <c r="D34" s="3"/>
      <c r="E34" s="4"/>
      <c r="F34" s="4"/>
      <c r="G34" s="5"/>
      <c r="H34" s="4"/>
      <c r="I34" s="4"/>
      <c r="J34" s="4"/>
      <c r="K34" s="4"/>
      <c r="L34" s="6" t="str">
        <f aca="false">IF(AND(G34&lt;&gt;"",H34&gt;0),ROUND(G34/H34,0),"")</f>
        <v/>
      </c>
      <c r="M34" s="6" t="str">
        <f aca="false">IF(F34&lt;&gt;"",IFERROR(VLOOKUP(F34,TablaRef,2,FALSE()),"?"),"")</f>
        <v/>
      </c>
      <c r="N34" s="7" t="str">
        <f aca="false">IF(AND(L34&lt;&gt;"",M34&lt;&gt;"",ISNUMBER(M34)),IF(L34&lt;M34*(1-MargenPct),"🟢",IF(L34&gt;M34*(1+MargenPct),"🔴","🟡")),"")</f>
        <v/>
      </c>
      <c r="O34" s="8" t="str">
        <f aca="false">IF(G34&lt;&gt;"",W34+X34+Y34+Z34+AB34+AC34+AD34,"")</f>
        <v/>
      </c>
      <c r="P34" s="9" t="str">
        <f aca="false">IF(G34&lt;&gt;"",IF(O34&lt;=Presupuesto,"✓","✗"),"")</f>
        <v/>
      </c>
      <c r="Q34" s="10" t="str">
        <f aca="false">IF(G34&lt;&gt;"",Presupuesto-O34,"")</f>
        <v/>
      </c>
      <c r="R34" s="11"/>
      <c r="S34" s="11"/>
      <c r="T34" s="12"/>
      <c r="U34" s="12"/>
      <c r="V34" s="11"/>
      <c r="W34" s="13" t="str">
        <f aca="false">IF(G34&lt;&gt;"",MAX(G34-Credito,G34*0.1),"")</f>
        <v/>
      </c>
      <c r="X34" s="13" t="str">
        <f aca="false">IF(G34&lt;&gt;"",ROUND(G34*0.02*1.21,0),"")</f>
        <v/>
      </c>
      <c r="Y34" s="13" t="str">
        <f aca="false">IF(G34&lt;&gt;"",IF(G34&lt;=140000,0,ROUND(G34*0.0175,0)),"")</f>
        <v/>
      </c>
      <c r="Z34" s="13" t="str">
        <f aca="false">IF(G34&lt;&gt;"",ROUND(G34*0.004,0),"")</f>
        <v/>
      </c>
      <c r="AA34" s="14"/>
      <c r="AB34" s="13" t="str">
        <f aca="false">IF(G34&lt;&gt;"",IF(AA34="Sí",ROUND(G34*0.04*1.21,0),0),"")</f>
        <v/>
      </c>
      <c r="AC34" s="13" t="str">
        <f aca="false">IF(G34&lt;&gt;"",ROUND(G34*0.01,0),"")</f>
        <v/>
      </c>
      <c r="AD34" s="13" t="str">
        <f aca="false">IF(G34&lt;&gt;"",300,"")</f>
        <v/>
      </c>
      <c r="AE34" s="15"/>
      <c r="AF34" s="15"/>
      <c r="AG34" s="16"/>
      <c r="AH34" s="16"/>
      <c r="AI34" s="17" t="str">
        <f aca="false">IF(AND(AG34&lt;&gt;"",AH34&lt;&gt;""),(AG34+AH34)/2,"")</f>
        <v/>
      </c>
      <c r="AJ34" s="15"/>
      <c r="AK34" s="15"/>
    </row>
    <row r="35" customFormat="false" ht="15" hidden="false" customHeight="false" outlineLevel="0" collapsed="false">
      <c r="A35" s="2" t="str">
        <f aca="false">IF(E35&lt;&gt;"",ROW()-1,"")</f>
        <v/>
      </c>
      <c r="B35" s="3"/>
      <c r="C35" s="3"/>
      <c r="D35" s="3"/>
      <c r="E35" s="4"/>
      <c r="F35" s="4"/>
      <c r="G35" s="5"/>
      <c r="H35" s="4"/>
      <c r="I35" s="4"/>
      <c r="J35" s="4"/>
      <c r="K35" s="4"/>
      <c r="L35" s="6" t="str">
        <f aca="false">IF(AND(G35&lt;&gt;"",H35&gt;0),ROUND(G35/H35,0),"")</f>
        <v/>
      </c>
      <c r="M35" s="6" t="str">
        <f aca="false">IF(F35&lt;&gt;"",IFERROR(VLOOKUP(F35,TablaRef,2,FALSE()),"?"),"")</f>
        <v/>
      </c>
      <c r="N35" s="7" t="str">
        <f aca="false">IF(AND(L35&lt;&gt;"",M35&lt;&gt;"",ISNUMBER(M35)),IF(L35&lt;M35*(1-MargenPct),"🟢",IF(L35&gt;M35*(1+MargenPct),"🔴","🟡")),"")</f>
        <v/>
      </c>
      <c r="O35" s="8" t="str">
        <f aca="false">IF(G35&lt;&gt;"",W35+X35+Y35+Z35+AB35+AC35+AD35,"")</f>
        <v/>
      </c>
      <c r="P35" s="9" t="str">
        <f aca="false">IF(G35&lt;&gt;"",IF(O35&lt;=Presupuesto,"✓","✗"),"")</f>
        <v/>
      </c>
      <c r="Q35" s="10" t="str">
        <f aca="false">IF(G35&lt;&gt;"",Presupuesto-O35,"")</f>
        <v/>
      </c>
      <c r="R35" s="11"/>
      <c r="S35" s="11"/>
      <c r="T35" s="12"/>
      <c r="U35" s="12"/>
      <c r="V35" s="11"/>
      <c r="W35" s="13" t="str">
        <f aca="false">IF(G35&lt;&gt;"",MAX(G35-Credito,G35*0.1),"")</f>
        <v/>
      </c>
      <c r="X35" s="13" t="str">
        <f aca="false">IF(G35&lt;&gt;"",ROUND(G35*0.02*1.21,0),"")</f>
        <v/>
      </c>
      <c r="Y35" s="13" t="str">
        <f aca="false">IF(G35&lt;&gt;"",IF(G35&lt;=140000,0,ROUND(G35*0.0175,0)),"")</f>
        <v/>
      </c>
      <c r="Z35" s="13" t="str">
        <f aca="false">IF(G35&lt;&gt;"",ROUND(G35*0.004,0),"")</f>
        <v/>
      </c>
      <c r="AA35" s="14"/>
      <c r="AB35" s="13" t="str">
        <f aca="false">IF(G35&lt;&gt;"",IF(AA35="Sí",ROUND(G35*0.04*1.21,0),0),"")</f>
        <v/>
      </c>
      <c r="AC35" s="13" t="str">
        <f aca="false">IF(G35&lt;&gt;"",ROUND(G35*0.01,0),"")</f>
        <v/>
      </c>
      <c r="AD35" s="13" t="str">
        <f aca="false">IF(G35&lt;&gt;"",300,"")</f>
        <v/>
      </c>
      <c r="AE35" s="15"/>
      <c r="AF35" s="15"/>
      <c r="AG35" s="16"/>
      <c r="AH35" s="16"/>
      <c r="AI35" s="17" t="str">
        <f aca="false">IF(AND(AG35&lt;&gt;"",AH35&lt;&gt;""),(AG35+AH35)/2,"")</f>
        <v/>
      </c>
      <c r="AJ35" s="15"/>
      <c r="AK35" s="15"/>
    </row>
    <row r="36" customFormat="false" ht="15" hidden="false" customHeight="false" outlineLevel="0" collapsed="false">
      <c r="A36" s="2" t="str">
        <f aca="false">IF(E36&lt;&gt;"",ROW()-1,"")</f>
        <v/>
      </c>
      <c r="B36" s="3"/>
      <c r="C36" s="3"/>
      <c r="D36" s="3"/>
      <c r="E36" s="4"/>
      <c r="F36" s="4"/>
      <c r="G36" s="5"/>
      <c r="H36" s="4"/>
      <c r="I36" s="4"/>
      <c r="J36" s="4"/>
      <c r="K36" s="4"/>
      <c r="L36" s="6" t="str">
        <f aca="false">IF(AND(G36&lt;&gt;"",H36&gt;0),ROUND(G36/H36,0),"")</f>
        <v/>
      </c>
      <c r="M36" s="6" t="str">
        <f aca="false">IF(F36&lt;&gt;"",IFERROR(VLOOKUP(F36,TablaRef,2,FALSE()),"?"),"")</f>
        <v/>
      </c>
      <c r="N36" s="7" t="str">
        <f aca="false">IF(AND(L36&lt;&gt;"",M36&lt;&gt;"",ISNUMBER(M36)),IF(L36&lt;M36*(1-MargenPct),"🟢",IF(L36&gt;M36*(1+MargenPct),"🔴","🟡")),"")</f>
        <v/>
      </c>
      <c r="O36" s="8" t="str">
        <f aca="false">IF(G36&lt;&gt;"",W36+X36+Y36+Z36+AB36+AC36+AD36,"")</f>
        <v/>
      </c>
      <c r="P36" s="9" t="str">
        <f aca="false">IF(G36&lt;&gt;"",IF(O36&lt;=Presupuesto,"✓","✗"),"")</f>
        <v/>
      </c>
      <c r="Q36" s="10" t="str">
        <f aca="false">IF(G36&lt;&gt;"",Presupuesto-O36,"")</f>
        <v/>
      </c>
      <c r="R36" s="11"/>
      <c r="S36" s="11"/>
      <c r="T36" s="12"/>
      <c r="U36" s="12"/>
      <c r="V36" s="11"/>
      <c r="W36" s="13" t="str">
        <f aca="false">IF(G36&lt;&gt;"",MAX(G36-Credito,G36*0.1),"")</f>
        <v/>
      </c>
      <c r="X36" s="13" t="str">
        <f aca="false">IF(G36&lt;&gt;"",ROUND(G36*0.02*1.21,0),"")</f>
        <v/>
      </c>
      <c r="Y36" s="13" t="str">
        <f aca="false">IF(G36&lt;&gt;"",IF(G36&lt;=140000,0,ROUND(G36*0.0175,0)),"")</f>
        <v/>
      </c>
      <c r="Z36" s="13" t="str">
        <f aca="false">IF(G36&lt;&gt;"",ROUND(G36*0.004,0),"")</f>
        <v/>
      </c>
      <c r="AA36" s="14"/>
      <c r="AB36" s="13" t="str">
        <f aca="false">IF(G36&lt;&gt;"",IF(AA36="Sí",ROUND(G36*0.04*1.21,0),0),"")</f>
        <v/>
      </c>
      <c r="AC36" s="13" t="str">
        <f aca="false">IF(G36&lt;&gt;"",ROUND(G36*0.01,0),"")</f>
        <v/>
      </c>
      <c r="AD36" s="13" t="str">
        <f aca="false">IF(G36&lt;&gt;"",300,"")</f>
        <v/>
      </c>
      <c r="AE36" s="15"/>
      <c r="AF36" s="15"/>
      <c r="AG36" s="16"/>
      <c r="AH36" s="16"/>
      <c r="AI36" s="17" t="str">
        <f aca="false">IF(AND(AG36&lt;&gt;"",AH36&lt;&gt;""),(AG36+AH36)/2,"")</f>
        <v/>
      </c>
      <c r="AJ36" s="15"/>
      <c r="AK36" s="15"/>
    </row>
    <row r="37" customFormat="false" ht="15" hidden="false" customHeight="false" outlineLevel="0" collapsed="false">
      <c r="A37" s="2" t="str">
        <f aca="false">IF(E37&lt;&gt;"",ROW()-1,"")</f>
        <v/>
      </c>
      <c r="B37" s="3"/>
      <c r="C37" s="3"/>
      <c r="D37" s="3"/>
      <c r="E37" s="4"/>
      <c r="F37" s="4"/>
      <c r="G37" s="5"/>
      <c r="H37" s="4"/>
      <c r="I37" s="4"/>
      <c r="J37" s="4"/>
      <c r="K37" s="4"/>
      <c r="L37" s="6" t="str">
        <f aca="false">IF(AND(G37&lt;&gt;"",H37&gt;0),ROUND(G37/H37,0),"")</f>
        <v/>
      </c>
      <c r="M37" s="6" t="str">
        <f aca="false">IF(F37&lt;&gt;"",IFERROR(VLOOKUP(F37,TablaRef,2,FALSE()),"?"),"")</f>
        <v/>
      </c>
      <c r="N37" s="7" t="str">
        <f aca="false">IF(AND(L37&lt;&gt;"",M37&lt;&gt;"",ISNUMBER(M37)),IF(L37&lt;M37*(1-MargenPct),"🟢",IF(L37&gt;M37*(1+MargenPct),"🔴","🟡")),"")</f>
        <v/>
      </c>
      <c r="O37" s="8" t="str">
        <f aca="false">IF(G37&lt;&gt;"",W37+X37+Y37+Z37+AB37+AC37+AD37,"")</f>
        <v/>
      </c>
      <c r="P37" s="9" t="str">
        <f aca="false">IF(G37&lt;&gt;"",IF(O37&lt;=Presupuesto,"✓","✗"),"")</f>
        <v/>
      </c>
      <c r="Q37" s="10" t="str">
        <f aca="false">IF(G37&lt;&gt;"",Presupuesto-O37,"")</f>
        <v/>
      </c>
      <c r="R37" s="11"/>
      <c r="S37" s="11"/>
      <c r="T37" s="12"/>
      <c r="U37" s="12"/>
      <c r="V37" s="11"/>
      <c r="W37" s="13" t="str">
        <f aca="false">IF(G37&lt;&gt;"",MAX(G37-Credito,G37*0.1),"")</f>
        <v/>
      </c>
      <c r="X37" s="13" t="str">
        <f aca="false">IF(G37&lt;&gt;"",ROUND(G37*0.02*1.21,0),"")</f>
        <v/>
      </c>
      <c r="Y37" s="13" t="str">
        <f aca="false">IF(G37&lt;&gt;"",IF(G37&lt;=140000,0,ROUND(G37*0.0175,0)),"")</f>
        <v/>
      </c>
      <c r="Z37" s="13" t="str">
        <f aca="false">IF(G37&lt;&gt;"",ROUND(G37*0.004,0),"")</f>
        <v/>
      </c>
      <c r="AA37" s="14"/>
      <c r="AB37" s="13" t="str">
        <f aca="false">IF(G37&lt;&gt;"",IF(AA37="Sí",ROUND(G37*0.04*1.21,0),0),"")</f>
        <v/>
      </c>
      <c r="AC37" s="13" t="str">
        <f aca="false">IF(G37&lt;&gt;"",ROUND(G37*0.01,0),"")</f>
        <v/>
      </c>
      <c r="AD37" s="13" t="str">
        <f aca="false">IF(G37&lt;&gt;"",300,"")</f>
        <v/>
      </c>
      <c r="AE37" s="15"/>
      <c r="AF37" s="15"/>
      <c r="AG37" s="16"/>
      <c r="AH37" s="16"/>
      <c r="AI37" s="17" t="str">
        <f aca="false">IF(AND(AG37&lt;&gt;"",AH37&lt;&gt;""),(AG37+AH37)/2,"")</f>
        <v/>
      </c>
      <c r="AJ37" s="15"/>
      <c r="AK37" s="15"/>
    </row>
    <row r="38" customFormat="false" ht="15" hidden="false" customHeight="false" outlineLevel="0" collapsed="false">
      <c r="A38" s="2" t="str">
        <f aca="false">IF(E38&lt;&gt;"",ROW()-1,"")</f>
        <v/>
      </c>
      <c r="B38" s="3"/>
      <c r="C38" s="3"/>
      <c r="D38" s="3"/>
      <c r="E38" s="4"/>
      <c r="F38" s="4"/>
      <c r="G38" s="5"/>
      <c r="H38" s="4"/>
      <c r="I38" s="4"/>
      <c r="J38" s="4"/>
      <c r="K38" s="4"/>
      <c r="L38" s="6" t="str">
        <f aca="false">IF(AND(G38&lt;&gt;"",H38&gt;0),ROUND(G38/H38,0),"")</f>
        <v/>
      </c>
      <c r="M38" s="6" t="str">
        <f aca="false">IF(F38&lt;&gt;"",IFERROR(VLOOKUP(F38,TablaRef,2,FALSE()),"?"),"")</f>
        <v/>
      </c>
      <c r="N38" s="7" t="str">
        <f aca="false">IF(AND(L38&lt;&gt;"",M38&lt;&gt;"",ISNUMBER(M38)),IF(L38&lt;M38*(1-MargenPct),"🟢",IF(L38&gt;M38*(1+MargenPct),"🔴","🟡")),"")</f>
        <v/>
      </c>
      <c r="O38" s="8" t="str">
        <f aca="false">IF(G38&lt;&gt;"",W38+X38+Y38+Z38+AB38+AC38+AD38,"")</f>
        <v/>
      </c>
      <c r="P38" s="9" t="str">
        <f aca="false">IF(G38&lt;&gt;"",IF(O38&lt;=Presupuesto,"✓","✗"),"")</f>
        <v/>
      </c>
      <c r="Q38" s="10" t="str">
        <f aca="false">IF(G38&lt;&gt;"",Presupuesto-O38,"")</f>
        <v/>
      </c>
      <c r="R38" s="11"/>
      <c r="S38" s="11"/>
      <c r="T38" s="12"/>
      <c r="U38" s="12"/>
      <c r="V38" s="11"/>
      <c r="W38" s="13" t="str">
        <f aca="false">IF(G38&lt;&gt;"",MAX(G38-Credito,G38*0.1),"")</f>
        <v/>
      </c>
      <c r="X38" s="13" t="str">
        <f aca="false">IF(G38&lt;&gt;"",ROUND(G38*0.02*1.21,0),"")</f>
        <v/>
      </c>
      <c r="Y38" s="13" t="str">
        <f aca="false">IF(G38&lt;&gt;"",IF(G38&lt;=140000,0,ROUND(G38*0.0175,0)),"")</f>
        <v/>
      </c>
      <c r="Z38" s="13" t="str">
        <f aca="false">IF(G38&lt;&gt;"",ROUND(G38*0.004,0),"")</f>
        <v/>
      </c>
      <c r="AA38" s="14"/>
      <c r="AB38" s="13" t="str">
        <f aca="false">IF(G38&lt;&gt;"",IF(AA38="Sí",ROUND(G38*0.04*1.21,0),0),"")</f>
        <v/>
      </c>
      <c r="AC38" s="13" t="str">
        <f aca="false">IF(G38&lt;&gt;"",ROUND(G38*0.01,0),"")</f>
        <v/>
      </c>
      <c r="AD38" s="13" t="str">
        <f aca="false">IF(G38&lt;&gt;"",300,"")</f>
        <v/>
      </c>
      <c r="AE38" s="15"/>
      <c r="AF38" s="15"/>
      <c r="AG38" s="16"/>
      <c r="AH38" s="16"/>
      <c r="AI38" s="17" t="str">
        <f aca="false">IF(AND(AG38&lt;&gt;"",AH38&lt;&gt;""),(AG38+AH38)/2,"")</f>
        <v/>
      </c>
      <c r="AJ38" s="15"/>
      <c r="AK38" s="15"/>
    </row>
    <row r="39" customFormat="false" ht="15" hidden="false" customHeight="false" outlineLevel="0" collapsed="false">
      <c r="A39" s="2" t="str">
        <f aca="false">IF(E39&lt;&gt;"",ROW()-1,"")</f>
        <v/>
      </c>
      <c r="B39" s="3"/>
      <c r="C39" s="3"/>
      <c r="D39" s="3"/>
      <c r="E39" s="4"/>
      <c r="F39" s="4"/>
      <c r="G39" s="5"/>
      <c r="H39" s="4"/>
      <c r="I39" s="4"/>
      <c r="J39" s="4"/>
      <c r="K39" s="4"/>
      <c r="L39" s="6" t="str">
        <f aca="false">IF(AND(G39&lt;&gt;"",H39&gt;0),ROUND(G39/H39,0),"")</f>
        <v/>
      </c>
      <c r="M39" s="6" t="str">
        <f aca="false">IF(F39&lt;&gt;"",IFERROR(VLOOKUP(F39,TablaRef,2,FALSE()),"?"),"")</f>
        <v/>
      </c>
      <c r="N39" s="7" t="str">
        <f aca="false">IF(AND(L39&lt;&gt;"",M39&lt;&gt;"",ISNUMBER(M39)),IF(L39&lt;M39*(1-MargenPct),"🟢",IF(L39&gt;M39*(1+MargenPct),"🔴","🟡")),"")</f>
        <v/>
      </c>
      <c r="O39" s="8" t="str">
        <f aca="false">IF(G39&lt;&gt;"",W39+X39+Y39+Z39+AB39+AC39+AD39,"")</f>
        <v/>
      </c>
      <c r="P39" s="9" t="str">
        <f aca="false">IF(G39&lt;&gt;"",IF(O39&lt;=Presupuesto,"✓","✗"),"")</f>
        <v/>
      </c>
      <c r="Q39" s="10" t="str">
        <f aca="false">IF(G39&lt;&gt;"",Presupuesto-O39,"")</f>
        <v/>
      </c>
      <c r="R39" s="11"/>
      <c r="S39" s="11"/>
      <c r="T39" s="12"/>
      <c r="U39" s="12"/>
      <c r="V39" s="11"/>
      <c r="W39" s="13" t="str">
        <f aca="false">IF(G39&lt;&gt;"",MAX(G39-Credito,G39*0.1),"")</f>
        <v/>
      </c>
      <c r="X39" s="13" t="str">
        <f aca="false">IF(G39&lt;&gt;"",ROUND(G39*0.02*1.21,0),"")</f>
        <v/>
      </c>
      <c r="Y39" s="13" t="str">
        <f aca="false">IF(G39&lt;&gt;"",IF(G39&lt;=140000,0,ROUND(G39*0.0175,0)),"")</f>
        <v/>
      </c>
      <c r="Z39" s="13" t="str">
        <f aca="false">IF(G39&lt;&gt;"",ROUND(G39*0.004,0),"")</f>
        <v/>
      </c>
      <c r="AA39" s="14"/>
      <c r="AB39" s="13" t="str">
        <f aca="false">IF(G39&lt;&gt;"",IF(AA39="Sí",ROUND(G39*0.04*1.21,0),0),"")</f>
        <v/>
      </c>
      <c r="AC39" s="13" t="str">
        <f aca="false">IF(G39&lt;&gt;"",ROUND(G39*0.01,0),"")</f>
        <v/>
      </c>
      <c r="AD39" s="13" t="str">
        <f aca="false">IF(G39&lt;&gt;"",300,"")</f>
        <v/>
      </c>
      <c r="AE39" s="15"/>
      <c r="AF39" s="15"/>
      <c r="AG39" s="16"/>
      <c r="AH39" s="16"/>
      <c r="AI39" s="17" t="str">
        <f aca="false">IF(AND(AG39&lt;&gt;"",AH39&lt;&gt;""),(AG39+AH39)/2,"")</f>
        <v/>
      </c>
      <c r="AJ39" s="15"/>
      <c r="AK39" s="15"/>
    </row>
    <row r="40" customFormat="false" ht="15" hidden="false" customHeight="false" outlineLevel="0" collapsed="false">
      <c r="A40" s="2" t="str">
        <f aca="false">IF(E40&lt;&gt;"",ROW()-1,"")</f>
        <v/>
      </c>
      <c r="B40" s="3"/>
      <c r="C40" s="3"/>
      <c r="D40" s="3"/>
      <c r="E40" s="4"/>
      <c r="F40" s="4"/>
      <c r="G40" s="5"/>
      <c r="H40" s="4"/>
      <c r="I40" s="4"/>
      <c r="J40" s="4"/>
      <c r="K40" s="4"/>
      <c r="L40" s="6" t="str">
        <f aca="false">IF(AND(G40&lt;&gt;"",H40&gt;0),ROUND(G40/H40,0),"")</f>
        <v/>
      </c>
      <c r="M40" s="6" t="str">
        <f aca="false">IF(F40&lt;&gt;"",IFERROR(VLOOKUP(F40,TablaRef,2,FALSE()),"?"),"")</f>
        <v/>
      </c>
      <c r="N40" s="7" t="str">
        <f aca="false">IF(AND(L40&lt;&gt;"",M40&lt;&gt;"",ISNUMBER(M40)),IF(L40&lt;M40*(1-MargenPct),"🟢",IF(L40&gt;M40*(1+MargenPct),"🔴","🟡")),"")</f>
        <v/>
      </c>
      <c r="O40" s="8" t="str">
        <f aca="false">IF(G40&lt;&gt;"",W40+X40+Y40+Z40+AB40+AC40+AD40,"")</f>
        <v/>
      </c>
      <c r="P40" s="9" t="str">
        <f aca="false">IF(G40&lt;&gt;"",IF(O40&lt;=Presupuesto,"✓","✗"),"")</f>
        <v/>
      </c>
      <c r="Q40" s="10" t="str">
        <f aca="false">IF(G40&lt;&gt;"",Presupuesto-O40,"")</f>
        <v/>
      </c>
      <c r="R40" s="11"/>
      <c r="S40" s="11"/>
      <c r="T40" s="12"/>
      <c r="U40" s="12"/>
      <c r="V40" s="11"/>
      <c r="W40" s="13" t="str">
        <f aca="false">IF(G40&lt;&gt;"",MAX(G40-Credito,G40*0.1),"")</f>
        <v/>
      </c>
      <c r="X40" s="13" t="str">
        <f aca="false">IF(G40&lt;&gt;"",ROUND(G40*0.02*1.21,0),"")</f>
        <v/>
      </c>
      <c r="Y40" s="13" t="str">
        <f aca="false">IF(G40&lt;&gt;"",IF(G40&lt;=140000,0,ROUND(G40*0.0175,0)),"")</f>
        <v/>
      </c>
      <c r="Z40" s="13" t="str">
        <f aca="false">IF(G40&lt;&gt;"",ROUND(G40*0.004,0),"")</f>
        <v/>
      </c>
      <c r="AA40" s="14"/>
      <c r="AB40" s="13" t="str">
        <f aca="false">IF(G40&lt;&gt;"",IF(AA40="Sí",ROUND(G40*0.04*1.21,0),0),"")</f>
        <v/>
      </c>
      <c r="AC40" s="13" t="str">
        <f aca="false">IF(G40&lt;&gt;"",ROUND(G40*0.01,0),"")</f>
        <v/>
      </c>
      <c r="AD40" s="13" t="str">
        <f aca="false">IF(G40&lt;&gt;"",300,"")</f>
        <v/>
      </c>
      <c r="AE40" s="15"/>
      <c r="AF40" s="15"/>
      <c r="AG40" s="16"/>
      <c r="AH40" s="16"/>
      <c r="AI40" s="17" t="str">
        <f aca="false">IF(AND(AG40&lt;&gt;"",AH40&lt;&gt;""),(AG40+AH40)/2,"")</f>
        <v/>
      </c>
      <c r="AJ40" s="15"/>
      <c r="AK40" s="15"/>
    </row>
    <row r="41" customFormat="false" ht="15" hidden="false" customHeight="false" outlineLevel="0" collapsed="false">
      <c r="A41" s="2" t="str">
        <f aca="false">IF(E41&lt;&gt;"",ROW()-1,"")</f>
        <v/>
      </c>
      <c r="B41" s="3"/>
      <c r="C41" s="3"/>
      <c r="D41" s="3"/>
      <c r="E41" s="4"/>
      <c r="F41" s="4"/>
      <c r="G41" s="5"/>
      <c r="H41" s="4"/>
      <c r="I41" s="4"/>
      <c r="J41" s="4"/>
      <c r="K41" s="4"/>
      <c r="L41" s="6" t="str">
        <f aca="false">IF(AND(G41&lt;&gt;"",H41&gt;0),ROUND(G41/H41,0),"")</f>
        <v/>
      </c>
      <c r="M41" s="6" t="str">
        <f aca="false">IF(F41&lt;&gt;"",IFERROR(VLOOKUP(F41,TablaRef,2,FALSE()),"?"),"")</f>
        <v/>
      </c>
      <c r="N41" s="7" t="str">
        <f aca="false">IF(AND(L41&lt;&gt;"",M41&lt;&gt;"",ISNUMBER(M41)),IF(L41&lt;M41*(1-MargenPct),"🟢",IF(L41&gt;M41*(1+MargenPct),"🔴","🟡")),"")</f>
        <v/>
      </c>
      <c r="O41" s="8" t="str">
        <f aca="false">IF(G41&lt;&gt;"",W41+X41+Y41+Z41+AB41+AC41+AD41,"")</f>
        <v/>
      </c>
      <c r="P41" s="9" t="str">
        <f aca="false">IF(G41&lt;&gt;"",IF(O41&lt;=Presupuesto,"✓","✗"),"")</f>
        <v/>
      </c>
      <c r="Q41" s="10" t="str">
        <f aca="false">IF(G41&lt;&gt;"",Presupuesto-O41,"")</f>
        <v/>
      </c>
      <c r="R41" s="11"/>
      <c r="S41" s="11"/>
      <c r="T41" s="12"/>
      <c r="U41" s="12"/>
      <c r="V41" s="11"/>
      <c r="W41" s="13" t="str">
        <f aca="false">IF(G41&lt;&gt;"",MAX(G41-Credito,G41*0.1),"")</f>
        <v/>
      </c>
      <c r="X41" s="13" t="str">
        <f aca="false">IF(G41&lt;&gt;"",ROUND(G41*0.02*1.21,0),"")</f>
        <v/>
      </c>
      <c r="Y41" s="13" t="str">
        <f aca="false">IF(G41&lt;&gt;"",IF(G41&lt;=140000,0,ROUND(G41*0.0175,0)),"")</f>
        <v/>
      </c>
      <c r="Z41" s="13" t="str">
        <f aca="false">IF(G41&lt;&gt;"",ROUND(G41*0.004,0),"")</f>
        <v/>
      </c>
      <c r="AA41" s="14"/>
      <c r="AB41" s="13" t="str">
        <f aca="false">IF(G41&lt;&gt;"",IF(AA41="Sí",ROUND(G41*0.04*1.21,0),0),"")</f>
        <v/>
      </c>
      <c r="AC41" s="13" t="str">
        <f aca="false">IF(G41&lt;&gt;"",ROUND(G41*0.01,0),"")</f>
        <v/>
      </c>
      <c r="AD41" s="13" t="str">
        <f aca="false">IF(G41&lt;&gt;"",300,"")</f>
        <v/>
      </c>
      <c r="AE41" s="15"/>
      <c r="AF41" s="15"/>
      <c r="AG41" s="16"/>
      <c r="AH41" s="16"/>
      <c r="AI41" s="17" t="str">
        <f aca="false">IF(AND(AG41&lt;&gt;"",AH41&lt;&gt;""),(AG41+AH41)/2,"")</f>
        <v/>
      </c>
      <c r="AJ41" s="15"/>
      <c r="AK41" s="15"/>
    </row>
    <row r="42" customFormat="false" ht="15" hidden="false" customHeight="false" outlineLevel="0" collapsed="false">
      <c r="A42" s="2" t="str">
        <f aca="false">IF(E42&lt;&gt;"",ROW()-1,"")</f>
        <v/>
      </c>
      <c r="B42" s="3"/>
      <c r="C42" s="3"/>
      <c r="D42" s="3"/>
      <c r="E42" s="4"/>
      <c r="F42" s="4"/>
      <c r="G42" s="5"/>
      <c r="H42" s="4"/>
      <c r="I42" s="4"/>
      <c r="J42" s="4"/>
      <c r="K42" s="4"/>
      <c r="L42" s="6" t="str">
        <f aca="false">IF(AND(G42&lt;&gt;"",H42&gt;0),ROUND(G42/H42,0),"")</f>
        <v/>
      </c>
      <c r="M42" s="6" t="str">
        <f aca="false">IF(F42&lt;&gt;"",IFERROR(VLOOKUP(F42,TablaRef,2,FALSE()),"?"),"")</f>
        <v/>
      </c>
      <c r="N42" s="7" t="str">
        <f aca="false">IF(AND(L42&lt;&gt;"",M42&lt;&gt;"",ISNUMBER(M42)),IF(L42&lt;M42*(1-MargenPct),"🟢",IF(L42&gt;M42*(1+MargenPct),"🔴","🟡")),"")</f>
        <v/>
      </c>
      <c r="O42" s="8" t="str">
        <f aca="false">IF(G42&lt;&gt;"",W42+X42+Y42+Z42+AB42+AC42+AD42,"")</f>
        <v/>
      </c>
      <c r="P42" s="9" t="str">
        <f aca="false">IF(G42&lt;&gt;"",IF(O42&lt;=Presupuesto,"✓","✗"),"")</f>
        <v/>
      </c>
      <c r="Q42" s="10" t="str">
        <f aca="false">IF(G42&lt;&gt;"",Presupuesto-O42,"")</f>
        <v/>
      </c>
      <c r="R42" s="11"/>
      <c r="S42" s="11"/>
      <c r="T42" s="12"/>
      <c r="U42" s="12"/>
      <c r="V42" s="11"/>
      <c r="W42" s="13" t="str">
        <f aca="false">IF(G42&lt;&gt;"",MAX(G42-Credito,G42*0.1),"")</f>
        <v/>
      </c>
      <c r="X42" s="13" t="str">
        <f aca="false">IF(G42&lt;&gt;"",ROUND(G42*0.02*1.21,0),"")</f>
        <v/>
      </c>
      <c r="Y42" s="13" t="str">
        <f aca="false">IF(G42&lt;&gt;"",IF(G42&lt;=140000,0,ROUND(G42*0.0175,0)),"")</f>
        <v/>
      </c>
      <c r="Z42" s="13" t="str">
        <f aca="false">IF(G42&lt;&gt;"",ROUND(G42*0.004,0),"")</f>
        <v/>
      </c>
      <c r="AA42" s="14"/>
      <c r="AB42" s="13" t="str">
        <f aca="false">IF(G42&lt;&gt;"",IF(AA42="Sí",ROUND(G42*0.04*1.21,0),0),"")</f>
        <v/>
      </c>
      <c r="AC42" s="13" t="str">
        <f aca="false">IF(G42&lt;&gt;"",ROUND(G42*0.01,0),"")</f>
        <v/>
      </c>
      <c r="AD42" s="13" t="str">
        <f aca="false">IF(G42&lt;&gt;"",300,"")</f>
        <v/>
      </c>
      <c r="AE42" s="15"/>
      <c r="AF42" s="15"/>
      <c r="AG42" s="16"/>
      <c r="AH42" s="16"/>
      <c r="AI42" s="17" t="str">
        <f aca="false">IF(AND(AG42&lt;&gt;"",AH42&lt;&gt;""),(AG42+AH42)/2,"")</f>
        <v/>
      </c>
      <c r="AJ42" s="15"/>
      <c r="AK42" s="15"/>
    </row>
    <row r="43" customFormat="false" ht="15" hidden="false" customHeight="false" outlineLevel="0" collapsed="false">
      <c r="A43" s="2" t="str">
        <f aca="false">IF(E43&lt;&gt;"",ROW()-1,"")</f>
        <v/>
      </c>
      <c r="B43" s="3"/>
      <c r="C43" s="3"/>
      <c r="D43" s="3"/>
      <c r="E43" s="4"/>
      <c r="F43" s="4"/>
      <c r="G43" s="5"/>
      <c r="H43" s="4"/>
      <c r="I43" s="4"/>
      <c r="J43" s="4"/>
      <c r="K43" s="4"/>
      <c r="L43" s="6" t="str">
        <f aca="false">IF(AND(G43&lt;&gt;"",H43&gt;0),ROUND(G43/H43,0),"")</f>
        <v/>
      </c>
      <c r="M43" s="6" t="str">
        <f aca="false">IF(F43&lt;&gt;"",IFERROR(VLOOKUP(F43,TablaRef,2,FALSE()),"?"),"")</f>
        <v/>
      </c>
      <c r="N43" s="7" t="str">
        <f aca="false">IF(AND(L43&lt;&gt;"",M43&lt;&gt;"",ISNUMBER(M43)),IF(L43&lt;M43*(1-MargenPct),"🟢",IF(L43&gt;M43*(1+MargenPct),"🔴","🟡")),"")</f>
        <v/>
      </c>
      <c r="O43" s="8" t="str">
        <f aca="false">IF(G43&lt;&gt;"",W43+X43+Y43+Z43+AB43+AC43+AD43,"")</f>
        <v/>
      </c>
      <c r="P43" s="9" t="str">
        <f aca="false">IF(G43&lt;&gt;"",IF(O43&lt;=Presupuesto,"✓","✗"),"")</f>
        <v/>
      </c>
      <c r="Q43" s="10" t="str">
        <f aca="false">IF(G43&lt;&gt;"",Presupuesto-O43,"")</f>
        <v/>
      </c>
      <c r="R43" s="11"/>
      <c r="S43" s="11"/>
      <c r="T43" s="12"/>
      <c r="U43" s="12"/>
      <c r="V43" s="11"/>
      <c r="W43" s="13" t="str">
        <f aca="false">IF(G43&lt;&gt;"",MAX(G43-Credito,G43*0.1),"")</f>
        <v/>
      </c>
      <c r="X43" s="13" t="str">
        <f aca="false">IF(G43&lt;&gt;"",ROUND(G43*0.02*1.21,0),"")</f>
        <v/>
      </c>
      <c r="Y43" s="13" t="str">
        <f aca="false">IF(G43&lt;&gt;"",IF(G43&lt;=140000,0,ROUND(G43*0.0175,0)),"")</f>
        <v/>
      </c>
      <c r="Z43" s="13" t="str">
        <f aca="false">IF(G43&lt;&gt;"",ROUND(G43*0.004,0),"")</f>
        <v/>
      </c>
      <c r="AA43" s="14"/>
      <c r="AB43" s="13" t="str">
        <f aca="false">IF(G43&lt;&gt;"",IF(AA43="Sí",ROUND(G43*0.04*1.21,0),0),"")</f>
        <v/>
      </c>
      <c r="AC43" s="13" t="str">
        <f aca="false">IF(G43&lt;&gt;"",ROUND(G43*0.01,0),"")</f>
        <v/>
      </c>
      <c r="AD43" s="13" t="str">
        <f aca="false">IF(G43&lt;&gt;"",300,"")</f>
        <v/>
      </c>
      <c r="AE43" s="15"/>
      <c r="AF43" s="15"/>
      <c r="AG43" s="16"/>
      <c r="AH43" s="16"/>
      <c r="AI43" s="17" t="str">
        <f aca="false">IF(AND(AG43&lt;&gt;"",AH43&lt;&gt;""),(AG43+AH43)/2,"")</f>
        <v/>
      </c>
      <c r="AJ43" s="15"/>
      <c r="AK43" s="15"/>
    </row>
    <row r="44" customFormat="false" ht="15" hidden="false" customHeight="false" outlineLevel="0" collapsed="false">
      <c r="A44" s="2" t="str">
        <f aca="false">IF(E44&lt;&gt;"",ROW()-1,"")</f>
        <v/>
      </c>
      <c r="B44" s="3"/>
      <c r="C44" s="3"/>
      <c r="D44" s="3"/>
      <c r="E44" s="4"/>
      <c r="F44" s="4"/>
      <c r="G44" s="5"/>
      <c r="H44" s="4"/>
      <c r="I44" s="4"/>
      <c r="J44" s="4"/>
      <c r="K44" s="4"/>
      <c r="L44" s="6" t="str">
        <f aca="false">IF(AND(G44&lt;&gt;"",H44&gt;0),ROUND(G44/H44,0),"")</f>
        <v/>
      </c>
      <c r="M44" s="6" t="str">
        <f aca="false">IF(F44&lt;&gt;"",IFERROR(VLOOKUP(F44,TablaRef,2,FALSE()),"?"),"")</f>
        <v/>
      </c>
      <c r="N44" s="7" t="str">
        <f aca="false">IF(AND(L44&lt;&gt;"",M44&lt;&gt;"",ISNUMBER(M44)),IF(L44&lt;M44*(1-MargenPct),"🟢",IF(L44&gt;M44*(1+MargenPct),"🔴","🟡")),"")</f>
        <v/>
      </c>
      <c r="O44" s="8" t="str">
        <f aca="false">IF(G44&lt;&gt;"",W44+X44+Y44+Z44+AB44+AC44+AD44,"")</f>
        <v/>
      </c>
      <c r="P44" s="9" t="str">
        <f aca="false">IF(G44&lt;&gt;"",IF(O44&lt;=Presupuesto,"✓","✗"),"")</f>
        <v/>
      </c>
      <c r="Q44" s="10" t="str">
        <f aca="false">IF(G44&lt;&gt;"",Presupuesto-O44,"")</f>
        <v/>
      </c>
      <c r="R44" s="11"/>
      <c r="S44" s="11"/>
      <c r="T44" s="12"/>
      <c r="U44" s="12"/>
      <c r="V44" s="11"/>
      <c r="W44" s="13" t="str">
        <f aca="false">IF(G44&lt;&gt;"",MAX(G44-Credito,G44*0.1),"")</f>
        <v/>
      </c>
      <c r="X44" s="13" t="str">
        <f aca="false">IF(G44&lt;&gt;"",ROUND(G44*0.02*1.21,0),"")</f>
        <v/>
      </c>
      <c r="Y44" s="13" t="str">
        <f aca="false">IF(G44&lt;&gt;"",IF(G44&lt;=140000,0,ROUND(G44*0.0175,0)),"")</f>
        <v/>
      </c>
      <c r="Z44" s="13" t="str">
        <f aca="false">IF(G44&lt;&gt;"",ROUND(G44*0.004,0),"")</f>
        <v/>
      </c>
      <c r="AA44" s="14"/>
      <c r="AB44" s="13" t="str">
        <f aca="false">IF(G44&lt;&gt;"",IF(AA44="Sí",ROUND(G44*0.04*1.21,0),0),"")</f>
        <v/>
      </c>
      <c r="AC44" s="13" t="str">
        <f aca="false">IF(G44&lt;&gt;"",ROUND(G44*0.01,0),"")</f>
        <v/>
      </c>
      <c r="AD44" s="13" t="str">
        <f aca="false">IF(G44&lt;&gt;"",300,"")</f>
        <v/>
      </c>
      <c r="AE44" s="15"/>
      <c r="AF44" s="15"/>
      <c r="AG44" s="16"/>
      <c r="AH44" s="16"/>
      <c r="AI44" s="17" t="str">
        <f aca="false">IF(AND(AG44&lt;&gt;"",AH44&lt;&gt;""),(AG44+AH44)/2,"")</f>
        <v/>
      </c>
      <c r="AJ44" s="15"/>
      <c r="AK44" s="15"/>
    </row>
    <row r="45" customFormat="false" ht="15" hidden="false" customHeight="false" outlineLevel="0" collapsed="false">
      <c r="A45" s="2" t="str">
        <f aca="false">IF(E45&lt;&gt;"",ROW()-1,"")</f>
        <v/>
      </c>
      <c r="B45" s="3"/>
      <c r="C45" s="3"/>
      <c r="D45" s="3"/>
      <c r="E45" s="4"/>
      <c r="F45" s="4"/>
      <c r="G45" s="5"/>
      <c r="H45" s="4"/>
      <c r="I45" s="4"/>
      <c r="J45" s="4"/>
      <c r="K45" s="4"/>
      <c r="L45" s="6" t="str">
        <f aca="false">IF(AND(G45&lt;&gt;"",H45&gt;0),ROUND(G45/H45,0),"")</f>
        <v/>
      </c>
      <c r="M45" s="6" t="str">
        <f aca="false">IF(F45&lt;&gt;"",IFERROR(VLOOKUP(F45,TablaRef,2,FALSE()),"?"),"")</f>
        <v/>
      </c>
      <c r="N45" s="7" t="str">
        <f aca="false">IF(AND(L45&lt;&gt;"",M45&lt;&gt;"",ISNUMBER(M45)),IF(L45&lt;M45*(1-MargenPct),"🟢",IF(L45&gt;M45*(1+MargenPct),"🔴","🟡")),"")</f>
        <v/>
      </c>
      <c r="O45" s="8" t="str">
        <f aca="false">IF(G45&lt;&gt;"",W45+X45+Y45+Z45+AB45+AC45+AD45,"")</f>
        <v/>
      </c>
      <c r="P45" s="9" t="str">
        <f aca="false">IF(G45&lt;&gt;"",IF(O45&lt;=Presupuesto,"✓","✗"),"")</f>
        <v/>
      </c>
      <c r="Q45" s="10" t="str">
        <f aca="false">IF(G45&lt;&gt;"",Presupuesto-O45,"")</f>
        <v/>
      </c>
      <c r="R45" s="11"/>
      <c r="S45" s="11"/>
      <c r="T45" s="12"/>
      <c r="U45" s="12"/>
      <c r="V45" s="11"/>
      <c r="W45" s="13" t="str">
        <f aca="false">IF(G45&lt;&gt;"",MAX(G45-Credito,G45*0.1),"")</f>
        <v/>
      </c>
      <c r="X45" s="13" t="str">
        <f aca="false">IF(G45&lt;&gt;"",ROUND(G45*0.02*1.21,0),"")</f>
        <v/>
      </c>
      <c r="Y45" s="13" t="str">
        <f aca="false">IF(G45&lt;&gt;"",IF(G45&lt;=140000,0,ROUND(G45*0.0175,0)),"")</f>
        <v/>
      </c>
      <c r="Z45" s="13" t="str">
        <f aca="false">IF(G45&lt;&gt;"",ROUND(G45*0.004,0),"")</f>
        <v/>
      </c>
      <c r="AA45" s="14"/>
      <c r="AB45" s="13" t="str">
        <f aca="false">IF(G45&lt;&gt;"",IF(AA45="Sí",ROUND(G45*0.04*1.21,0),0),"")</f>
        <v/>
      </c>
      <c r="AC45" s="13" t="str">
        <f aca="false">IF(G45&lt;&gt;"",ROUND(G45*0.01,0),"")</f>
        <v/>
      </c>
      <c r="AD45" s="13" t="str">
        <f aca="false">IF(G45&lt;&gt;"",300,"")</f>
        <v/>
      </c>
      <c r="AE45" s="15"/>
      <c r="AF45" s="15"/>
      <c r="AG45" s="16"/>
      <c r="AH45" s="16"/>
      <c r="AI45" s="17" t="str">
        <f aca="false">IF(AND(AG45&lt;&gt;"",AH45&lt;&gt;""),(AG45+AH45)/2,"")</f>
        <v/>
      </c>
      <c r="AJ45" s="15"/>
      <c r="AK45" s="15"/>
    </row>
    <row r="46" customFormat="false" ht="15" hidden="false" customHeight="false" outlineLevel="0" collapsed="false">
      <c r="A46" s="2" t="str">
        <f aca="false">IF(E46&lt;&gt;"",ROW()-1,"")</f>
        <v/>
      </c>
      <c r="B46" s="3"/>
      <c r="C46" s="3"/>
      <c r="D46" s="3"/>
      <c r="E46" s="4"/>
      <c r="F46" s="4"/>
      <c r="G46" s="5"/>
      <c r="H46" s="4"/>
      <c r="I46" s="4"/>
      <c r="J46" s="4"/>
      <c r="K46" s="4"/>
      <c r="L46" s="6" t="str">
        <f aca="false">IF(AND(G46&lt;&gt;"",H46&gt;0),ROUND(G46/H46,0),"")</f>
        <v/>
      </c>
      <c r="M46" s="6" t="str">
        <f aca="false">IF(F46&lt;&gt;"",IFERROR(VLOOKUP(F46,TablaRef,2,FALSE()),"?"),"")</f>
        <v/>
      </c>
      <c r="N46" s="7" t="str">
        <f aca="false">IF(AND(L46&lt;&gt;"",M46&lt;&gt;"",ISNUMBER(M46)),IF(L46&lt;M46*(1-MargenPct),"🟢",IF(L46&gt;M46*(1+MargenPct),"🔴","🟡")),"")</f>
        <v/>
      </c>
      <c r="O46" s="8" t="str">
        <f aca="false">IF(G46&lt;&gt;"",W46+X46+Y46+Z46+AB46+AC46+AD46,"")</f>
        <v/>
      </c>
      <c r="P46" s="9" t="str">
        <f aca="false">IF(G46&lt;&gt;"",IF(O46&lt;=Presupuesto,"✓","✗"),"")</f>
        <v/>
      </c>
      <c r="Q46" s="10" t="str">
        <f aca="false">IF(G46&lt;&gt;"",Presupuesto-O46,"")</f>
        <v/>
      </c>
      <c r="R46" s="11"/>
      <c r="S46" s="11"/>
      <c r="T46" s="12"/>
      <c r="U46" s="12"/>
      <c r="V46" s="11"/>
      <c r="W46" s="13" t="str">
        <f aca="false">IF(G46&lt;&gt;"",MAX(G46-Credito,G46*0.1),"")</f>
        <v/>
      </c>
      <c r="X46" s="13" t="str">
        <f aca="false">IF(G46&lt;&gt;"",ROUND(G46*0.02*1.21,0),"")</f>
        <v/>
      </c>
      <c r="Y46" s="13" t="str">
        <f aca="false">IF(G46&lt;&gt;"",IF(G46&lt;=140000,0,ROUND(G46*0.0175,0)),"")</f>
        <v/>
      </c>
      <c r="Z46" s="13" t="str">
        <f aca="false">IF(G46&lt;&gt;"",ROUND(G46*0.004,0),"")</f>
        <v/>
      </c>
      <c r="AA46" s="14"/>
      <c r="AB46" s="13" t="str">
        <f aca="false">IF(G46&lt;&gt;"",IF(AA46="Sí",ROUND(G46*0.04*1.21,0),0),"")</f>
        <v/>
      </c>
      <c r="AC46" s="13" t="str">
        <f aca="false">IF(G46&lt;&gt;"",ROUND(G46*0.01,0),"")</f>
        <v/>
      </c>
      <c r="AD46" s="13" t="str">
        <f aca="false">IF(G46&lt;&gt;"",300,"")</f>
        <v/>
      </c>
      <c r="AE46" s="15"/>
      <c r="AF46" s="15"/>
      <c r="AG46" s="16"/>
      <c r="AH46" s="16"/>
      <c r="AI46" s="17" t="str">
        <f aca="false">IF(AND(AG46&lt;&gt;"",AH46&lt;&gt;""),(AG46+AH46)/2,"")</f>
        <v/>
      </c>
      <c r="AJ46" s="15"/>
      <c r="AK46" s="15"/>
    </row>
    <row r="47" customFormat="false" ht="15" hidden="false" customHeight="false" outlineLevel="0" collapsed="false">
      <c r="A47" s="2" t="str">
        <f aca="false">IF(E47&lt;&gt;"",ROW()-1,"")</f>
        <v/>
      </c>
      <c r="B47" s="3"/>
      <c r="C47" s="3"/>
      <c r="D47" s="3"/>
      <c r="E47" s="4"/>
      <c r="F47" s="4"/>
      <c r="G47" s="5"/>
      <c r="H47" s="4"/>
      <c r="I47" s="4"/>
      <c r="J47" s="4"/>
      <c r="K47" s="4"/>
      <c r="L47" s="6" t="str">
        <f aca="false">IF(AND(G47&lt;&gt;"",H47&gt;0),ROUND(G47/H47,0),"")</f>
        <v/>
      </c>
      <c r="M47" s="6" t="str">
        <f aca="false">IF(F47&lt;&gt;"",IFERROR(VLOOKUP(F47,TablaRef,2,FALSE()),"?"),"")</f>
        <v/>
      </c>
      <c r="N47" s="7" t="str">
        <f aca="false">IF(AND(L47&lt;&gt;"",M47&lt;&gt;"",ISNUMBER(M47)),IF(L47&lt;M47*(1-MargenPct),"🟢",IF(L47&gt;M47*(1+MargenPct),"🔴","🟡")),"")</f>
        <v/>
      </c>
      <c r="O47" s="8" t="str">
        <f aca="false">IF(G47&lt;&gt;"",W47+X47+Y47+Z47+AB47+AC47+AD47,"")</f>
        <v/>
      </c>
      <c r="P47" s="9" t="str">
        <f aca="false">IF(G47&lt;&gt;"",IF(O47&lt;=Presupuesto,"✓","✗"),"")</f>
        <v/>
      </c>
      <c r="Q47" s="10" t="str">
        <f aca="false">IF(G47&lt;&gt;"",Presupuesto-O47,"")</f>
        <v/>
      </c>
      <c r="R47" s="11"/>
      <c r="S47" s="11"/>
      <c r="T47" s="12"/>
      <c r="U47" s="12"/>
      <c r="V47" s="11"/>
      <c r="W47" s="13" t="str">
        <f aca="false">IF(G47&lt;&gt;"",MAX(G47-Credito,G47*0.1),"")</f>
        <v/>
      </c>
      <c r="X47" s="13" t="str">
        <f aca="false">IF(G47&lt;&gt;"",ROUND(G47*0.02*1.21,0),"")</f>
        <v/>
      </c>
      <c r="Y47" s="13" t="str">
        <f aca="false">IF(G47&lt;&gt;"",IF(G47&lt;=140000,0,ROUND(G47*0.0175,0)),"")</f>
        <v/>
      </c>
      <c r="Z47" s="13" t="str">
        <f aca="false">IF(G47&lt;&gt;"",ROUND(G47*0.004,0),"")</f>
        <v/>
      </c>
      <c r="AA47" s="14"/>
      <c r="AB47" s="13" t="str">
        <f aca="false">IF(G47&lt;&gt;"",IF(AA47="Sí",ROUND(G47*0.04*1.21,0),0),"")</f>
        <v/>
      </c>
      <c r="AC47" s="13" t="str">
        <f aca="false">IF(G47&lt;&gt;"",ROUND(G47*0.01,0),"")</f>
        <v/>
      </c>
      <c r="AD47" s="13" t="str">
        <f aca="false">IF(G47&lt;&gt;"",300,"")</f>
        <v/>
      </c>
      <c r="AE47" s="15"/>
      <c r="AF47" s="15"/>
      <c r="AG47" s="16"/>
      <c r="AH47" s="16"/>
      <c r="AI47" s="17" t="str">
        <f aca="false">IF(AND(AG47&lt;&gt;"",AH47&lt;&gt;""),(AG47+AH47)/2,"")</f>
        <v/>
      </c>
      <c r="AJ47" s="15"/>
      <c r="AK47" s="15"/>
    </row>
    <row r="48" customFormat="false" ht="15" hidden="false" customHeight="false" outlineLevel="0" collapsed="false">
      <c r="A48" s="2" t="str">
        <f aca="false">IF(E48&lt;&gt;"",ROW()-1,"")</f>
        <v/>
      </c>
      <c r="B48" s="3"/>
      <c r="C48" s="3"/>
      <c r="D48" s="3"/>
      <c r="E48" s="4"/>
      <c r="F48" s="4"/>
      <c r="G48" s="5"/>
      <c r="H48" s="4"/>
      <c r="I48" s="4"/>
      <c r="J48" s="4"/>
      <c r="K48" s="4"/>
      <c r="L48" s="6" t="str">
        <f aca="false">IF(AND(G48&lt;&gt;"",H48&gt;0),ROUND(G48/H48,0),"")</f>
        <v/>
      </c>
      <c r="M48" s="6" t="str">
        <f aca="false">IF(F48&lt;&gt;"",IFERROR(VLOOKUP(F48,TablaRef,2,FALSE()),"?"),"")</f>
        <v/>
      </c>
      <c r="N48" s="7" t="str">
        <f aca="false">IF(AND(L48&lt;&gt;"",M48&lt;&gt;"",ISNUMBER(M48)),IF(L48&lt;M48*(1-MargenPct),"🟢",IF(L48&gt;M48*(1+MargenPct),"🔴","🟡")),"")</f>
        <v/>
      </c>
      <c r="O48" s="8" t="str">
        <f aca="false">IF(G48&lt;&gt;"",W48+X48+Y48+Z48+AB48+AC48+AD48,"")</f>
        <v/>
      </c>
      <c r="P48" s="9" t="str">
        <f aca="false">IF(G48&lt;&gt;"",IF(O48&lt;=Presupuesto,"✓","✗"),"")</f>
        <v/>
      </c>
      <c r="Q48" s="10" t="str">
        <f aca="false">IF(G48&lt;&gt;"",Presupuesto-O48,"")</f>
        <v/>
      </c>
      <c r="R48" s="11"/>
      <c r="S48" s="11"/>
      <c r="T48" s="12"/>
      <c r="U48" s="12"/>
      <c r="V48" s="11"/>
      <c r="W48" s="13" t="str">
        <f aca="false">IF(G48&lt;&gt;"",MAX(G48-Credito,G48*0.1),"")</f>
        <v/>
      </c>
      <c r="X48" s="13" t="str">
        <f aca="false">IF(G48&lt;&gt;"",ROUND(G48*0.02*1.21,0),"")</f>
        <v/>
      </c>
      <c r="Y48" s="13" t="str">
        <f aca="false">IF(G48&lt;&gt;"",IF(G48&lt;=140000,0,ROUND(G48*0.0175,0)),"")</f>
        <v/>
      </c>
      <c r="Z48" s="13" t="str">
        <f aca="false">IF(G48&lt;&gt;"",ROUND(G48*0.004,0),"")</f>
        <v/>
      </c>
      <c r="AA48" s="14"/>
      <c r="AB48" s="13" t="str">
        <f aca="false">IF(G48&lt;&gt;"",IF(AA48="Sí",ROUND(G48*0.04*1.21,0),0),"")</f>
        <v/>
      </c>
      <c r="AC48" s="13" t="str">
        <f aca="false">IF(G48&lt;&gt;"",ROUND(G48*0.01,0),"")</f>
        <v/>
      </c>
      <c r="AD48" s="13" t="str">
        <f aca="false">IF(G48&lt;&gt;"",300,"")</f>
        <v/>
      </c>
      <c r="AE48" s="15"/>
      <c r="AF48" s="15"/>
      <c r="AG48" s="16"/>
      <c r="AH48" s="16"/>
      <c r="AI48" s="17" t="str">
        <f aca="false">IF(AND(AG48&lt;&gt;"",AH48&lt;&gt;""),(AG48+AH48)/2,"")</f>
        <v/>
      </c>
      <c r="AJ48" s="15"/>
      <c r="AK48" s="15"/>
    </row>
    <row r="49" customFormat="false" ht="15" hidden="false" customHeight="false" outlineLevel="0" collapsed="false">
      <c r="A49" s="2" t="str">
        <f aca="false">IF(E49&lt;&gt;"",ROW()-1,"")</f>
        <v/>
      </c>
      <c r="B49" s="3"/>
      <c r="C49" s="3"/>
      <c r="D49" s="3"/>
      <c r="E49" s="4"/>
      <c r="F49" s="4"/>
      <c r="G49" s="5"/>
      <c r="H49" s="4"/>
      <c r="I49" s="4"/>
      <c r="J49" s="4"/>
      <c r="K49" s="4"/>
      <c r="L49" s="6" t="str">
        <f aca="false">IF(AND(G49&lt;&gt;"",H49&gt;0),ROUND(G49/H49,0),"")</f>
        <v/>
      </c>
      <c r="M49" s="6" t="str">
        <f aca="false">IF(F49&lt;&gt;"",IFERROR(VLOOKUP(F49,TablaRef,2,FALSE()),"?"),"")</f>
        <v/>
      </c>
      <c r="N49" s="7" t="str">
        <f aca="false">IF(AND(L49&lt;&gt;"",M49&lt;&gt;"",ISNUMBER(M49)),IF(L49&lt;M49*(1-MargenPct),"🟢",IF(L49&gt;M49*(1+MargenPct),"🔴","🟡")),"")</f>
        <v/>
      </c>
      <c r="O49" s="8" t="str">
        <f aca="false">IF(G49&lt;&gt;"",W49+X49+Y49+Z49+AB49+AC49+AD49,"")</f>
        <v/>
      </c>
      <c r="P49" s="9" t="str">
        <f aca="false">IF(G49&lt;&gt;"",IF(O49&lt;=Presupuesto,"✓","✗"),"")</f>
        <v/>
      </c>
      <c r="Q49" s="10" t="str">
        <f aca="false">IF(G49&lt;&gt;"",Presupuesto-O49,"")</f>
        <v/>
      </c>
      <c r="R49" s="11"/>
      <c r="S49" s="11"/>
      <c r="T49" s="12"/>
      <c r="U49" s="12"/>
      <c r="V49" s="11"/>
      <c r="W49" s="13" t="str">
        <f aca="false">IF(G49&lt;&gt;"",MAX(G49-Credito,G49*0.1),"")</f>
        <v/>
      </c>
      <c r="X49" s="13" t="str">
        <f aca="false">IF(G49&lt;&gt;"",ROUND(G49*0.02*1.21,0),"")</f>
        <v/>
      </c>
      <c r="Y49" s="13" t="str">
        <f aca="false">IF(G49&lt;&gt;"",IF(G49&lt;=140000,0,ROUND(G49*0.0175,0)),"")</f>
        <v/>
      </c>
      <c r="Z49" s="13" t="str">
        <f aca="false">IF(G49&lt;&gt;"",ROUND(G49*0.004,0),"")</f>
        <v/>
      </c>
      <c r="AA49" s="14"/>
      <c r="AB49" s="13" t="str">
        <f aca="false">IF(G49&lt;&gt;"",IF(AA49="Sí",ROUND(G49*0.04*1.21,0),0),"")</f>
        <v/>
      </c>
      <c r="AC49" s="13" t="str">
        <f aca="false">IF(G49&lt;&gt;"",ROUND(G49*0.01,0),"")</f>
        <v/>
      </c>
      <c r="AD49" s="13" t="str">
        <f aca="false">IF(G49&lt;&gt;"",300,"")</f>
        <v/>
      </c>
      <c r="AE49" s="15"/>
      <c r="AF49" s="15"/>
      <c r="AG49" s="16"/>
      <c r="AH49" s="16"/>
      <c r="AI49" s="17" t="str">
        <f aca="false">IF(AND(AG49&lt;&gt;"",AH49&lt;&gt;""),(AG49+AH49)/2,"")</f>
        <v/>
      </c>
      <c r="AJ49" s="15"/>
      <c r="AK49" s="15"/>
    </row>
    <row r="50" customFormat="false" ht="15" hidden="false" customHeight="false" outlineLevel="0" collapsed="false">
      <c r="A50" s="2" t="str">
        <f aca="false">IF(E50&lt;&gt;"",ROW()-1,"")</f>
        <v/>
      </c>
      <c r="B50" s="3"/>
      <c r="C50" s="3"/>
      <c r="D50" s="3"/>
      <c r="E50" s="4"/>
      <c r="F50" s="4"/>
      <c r="G50" s="5"/>
      <c r="H50" s="4"/>
      <c r="I50" s="4"/>
      <c r="J50" s="4"/>
      <c r="K50" s="4"/>
      <c r="L50" s="6" t="str">
        <f aca="false">IF(AND(G50&lt;&gt;"",H50&gt;0),ROUND(G50/H50,0),"")</f>
        <v/>
      </c>
      <c r="M50" s="6" t="str">
        <f aca="false">IF(F50&lt;&gt;"",IFERROR(VLOOKUP(F50,TablaRef,2,FALSE()),"?"),"")</f>
        <v/>
      </c>
      <c r="N50" s="7" t="str">
        <f aca="false">IF(AND(L50&lt;&gt;"",M50&lt;&gt;"",ISNUMBER(M50)),IF(L50&lt;M50*(1-MargenPct),"🟢",IF(L50&gt;M50*(1+MargenPct),"🔴","🟡")),"")</f>
        <v/>
      </c>
      <c r="O50" s="8" t="str">
        <f aca="false">IF(G50&lt;&gt;"",W50+X50+Y50+Z50+AB50+AC50+AD50,"")</f>
        <v/>
      </c>
      <c r="P50" s="9" t="str">
        <f aca="false">IF(G50&lt;&gt;"",IF(O50&lt;=Presupuesto,"✓","✗"),"")</f>
        <v/>
      </c>
      <c r="Q50" s="10" t="str">
        <f aca="false">IF(G50&lt;&gt;"",Presupuesto-O50,"")</f>
        <v/>
      </c>
      <c r="R50" s="11"/>
      <c r="S50" s="11"/>
      <c r="T50" s="12"/>
      <c r="U50" s="12"/>
      <c r="V50" s="11"/>
      <c r="W50" s="13" t="str">
        <f aca="false">IF(G50&lt;&gt;"",MAX(G50-Credito,G50*0.1),"")</f>
        <v/>
      </c>
      <c r="X50" s="13" t="str">
        <f aca="false">IF(G50&lt;&gt;"",ROUND(G50*0.02*1.21,0),"")</f>
        <v/>
      </c>
      <c r="Y50" s="13" t="str">
        <f aca="false">IF(G50&lt;&gt;"",IF(G50&lt;=140000,0,ROUND(G50*0.0175,0)),"")</f>
        <v/>
      </c>
      <c r="Z50" s="13" t="str">
        <f aca="false">IF(G50&lt;&gt;"",ROUND(G50*0.004,0),"")</f>
        <v/>
      </c>
      <c r="AA50" s="14"/>
      <c r="AB50" s="13" t="str">
        <f aca="false">IF(G50&lt;&gt;"",IF(AA50="Sí",ROUND(G50*0.04*1.21,0),0),"")</f>
        <v/>
      </c>
      <c r="AC50" s="13" t="str">
        <f aca="false">IF(G50&lt;&gt;"",ROUND(G50*0.01,0),"")</f>
        <v/>
      </c>
      <c r="AD50" s="13" t="str">
        <f aca="false">IF(G50&lt;&gt;"",300,"")</f>
        <v/>
      </c>
      <c r="AE50" s="15"/>
      <c r="AF50" s="15"/>
      <c r="AG50" s="16"/>
      <c r="AH50" s="16"/>
      <c r="AI50" s="17" t="str">
        <f aca="false">IF(AND(AG50&lt;&gt;"",AH50&lt;&gt;""),(AG50+AH50)/2,"")</f>
        <v/>
      </c>
      <c r="AJ50" s="15"/>
      <c r="AK50" s="15"/>
    </row>
    <row r="51" customFormat="false" ht="15" hidden="false" customHeight="false" outlineLevel="0" collapsed="false">
      <c r="A51" s="2" t="str">
        <f aca="false">IF(E51&lt;&gt;"",ROW()-1,"")</f>
        <v/>
      </c>
      <c r="B51" s="3"/>
      <c r="C51" s="3"/>
      <c r="D51" s="3"/>
      <c r="E51" s="4"/>
      <c r="F51" s="4"/>
      <c r="G51" s="5"/>
      <c r="H51" s="4"/>
      <c r="I51" s="4"/>
      <c r="J51" s="4"/>
      <c r="K51" s="4"/>
      <c r="L51" s="6" t="str">
        <f aca="false">IF(AND(G51&lt;&gt;"",H51&gt;0),ROUND(G51/H51,0),"")</f>
        <v/>
      </c>
      <c r="M51" s="6" t="str">
        <f aca="false">IF(F51&lt;&gt;"",IFERROR(VLOOKUP(F51,TablaRef,2,FALSE()),"?"),"")</f>
        <v/>
      </c>
      <c r="N51" s="7" t="str">
        <f aca="false">IF(AND(L51&lt;&gt;"",M51&lt;&gt;"",ISNUMBER(M51)),IF(L51&lt;M51*(1-MargenPct),"🟢",IF(L51&gt;M51*(1+MargenPct),"🔴","🟡")),"")</f>
        <v/>
      </c>
      <c r="O51" s="8" t="str">
        <f aca="false">IF(G51&lt;&gt;"",W51+X51+Y51+Z51+AB51+AC51+AD51,"")</f>
        <v/>
      </c>
      <c r="P51" s="9" t="str">
        <f aca="false">IF(G51&lt;&gt;"",IF(O51&lt;=Presupuesto,"✓","✗"),"")</f>
        <v/>
      </c>
      <c r="Q51" s="10" t="str">
        <f aca="false">IF(G51&lt;&gt;"",Presupuesto-O51,"")</f>
        <v/>
      </c>
      <c r="R51" s="11"/>
      <c r="S51" s="11"/>
      <c r="T51" s="12"/>
      <c r="U51" s="12"/>
      <c r="V51" s="11"/>
      <c r="W51" s="13" t="str">
        <f aca="false">IF(G51&lt;&gt;"",MAX(G51-Credito,G51*0.1),"")</f>
        <v/>
      </c>
      <c r="X51" s="13" t="str">
        <f aca="false">IF(G51&lt;&gt;"",ROUND(G51*0.02*1.21,0),"")</f>
        <v/>
      </c>
      <c r="Y51" s="13" t="str">
        <f aca="false">IF(G51&lt;&gt;"",IF(G51&lt;=140000,0,ROUND(G51*0.0175,0)),"")</f>
        <v/>
      </c>
      <c r="Z51" s="13" t="str">
        <f aca="false">IF(G51&lt;&gt;"",ROUND(G51*0.004,0),"")</f>
        <v/>
      </c>
      <c r="AA51" s="14"/>
      <c r="AB51" s="13" t="str">
        <f aca="false">IF(G51&lt;&gt;"",IF(AA51="Sí",ROUND(G51*0.04*1.21,0),0),"")</f>
        <v/>
      </c>
      <c r="AC51" s="13" t="str">
        <f aca="false">IF(G51&lt;&gt;"",ROUND(G51*0.01,0),"")</f>
        <v/>
      </c>
      <c r="AD51" s="13" t="str">
        <f aca="false">IF(G51&lt;&gt;"",300,"")</f>
        <v/>
      </c>
      <c r="AE51" s="15"/>
      <c r="AF51" s="15"/>
      <c r="AG51" s="16"/>
      <c r="AH51" s="16"/>
      <c r="AI51" s="17" t="str">
        <f aca="false">IF(AND(AG51&lt;&gt;"",AH51&lt;&gt;""),(AG51+AH51)/2,"")</f>
        <v/>
      </c>
      <c r="AJ51" s="15"/>
      <c r="AK51" s="15"/>
    </row>
    <row r="52" customFormat="false" ht="15" hidden="false" customHeight="false" outlineLevel="0" collapsed="false">
      <c r="A52" s="2" t="str">
        <f aca="false">IF(E52&lt;&gt;"",ROW()-1,"")</f>
        <v/>
      </c>
      <c r="B52" s="3"/>
      <c r="C52" s="3"/>
      <c r="D52" s="3"/>
      <c r="E52" s="4"/>
      <c r="F52" s="4"/>
      <c r="G52" s="5"/>
      <c r="H52" s="4"/>
      <c r="I52" s="4"/>
      <c r="J52" s="4"/>
      <c r="K52" s="4"/>
      <c r="L52" s="6" t="str">
        <f aca="false">IF(AND(G52&lt;&gt;"",H52&gt;0),ROUND(G52/H52,0),"")</f>
        <v/>
      </c>
      <c r="M52" s="6" t="str">
        <f aca="false">IF(F52&lt;&gt;"",IFERROR(VLOOKUP(F52,TablaRef,2,FALSE()),"?"),"")</f>
        <v/>
      </c>
      <c r="N52" s="7" t="str">
        <f aca="false">IF(AND(L52&lt;&gt;"",M52&lt;&gt;"",ISNUMBER(M52)),IF(L52&lt;M52*(1-MargenPct),"🟢",IF(L52&gt;M52*(1+MargenPct),"🔴","🟡")),"")</f>
        <v/>
      </c>
      <c r="O52" s="8" t="str">
        <f aca="false">IF(G52&lt;&gt;"",W52+X52+Y52+Z52+AB52+AC52+AD52,"")</f>
        <v/>
      </c>
      <c r="P52" s="9" t="str">
        <f aca="false">IF(G52&lt;&gt;"",IF(O52&lt;=Presupuesto,"✓","✗"),"")</f>
        <v/>
      </c>
      <c r="Q52" s="10" t="str">
        <f aca="false">IF(G52&lt;&gt;"",Presupuesto-O52,"")</f>
        <v/>
      </c>
      <c r="R52" s="11"/>
      <c r="S52" s="11"/>
      <c r="T52" s="12"/>
      <c r="U52" s="12"/>
      <c r="V52" s="11"/>
      <c r="W52" s="13" t="str">
        <f aca="false">IF(G52&lt;&gt;"",MAX(G52-Credito,G52*0.1),"")</f>
        <v/>
      </c>
      <c r="X52" s="13" t="str">
        <f aca="false">IF(G52&lt;&gt;"",ROUND(G52*0.02*1.21,0),"")</f>
        <v/>
      </c>
      <c r="Y52" s="13" t="str">
        <f aca="false">IF(G52&lt;&gt;"",IF(G52&lt;=140000,0,ROUND(G52*0.0175,0)),"")</f>
        <v/>
      </c>
      <c r="Z52" s="13" t="str">
        <f aca="false">IF(G52&lt;&gt;"",ROUND(G52*0.004,0),"")</f>
        <v/>
      </c>
      <c r="AA52" s="14"/>
      <c r="AB52" s="13" t="str">
        <f aca="false">IF(G52&lt;&gt;"",IF(AA52="Sí",ROUND(G52*0.04*1.21,0),0),"")</f>
        <v/>
      </c>
      <c r="AC52" s="13" t="str">
        <f aca="false">IF(G52&lt;&gt;"",ROUND(G52*0.01,0),"")</f>
        <v/>
      </c>
      <c r="AD52" s="13" t="str">
        <f aca="false">IF(G52&lt;&gt;"",300,"")</f>
        <v/>
      </c>
      <c r="AE52" s="15"/>
      <c r="AF52" s="15"/>
      <c r="AG52" s="16"/>
      <c r="AH52" s="16"/>
      <c r="AI52" s="17" t="str">
        <f aca="false">IF(AND(AG52&lt;&gt;"",AH52&lt;&gt;""),(AG52+AH52)/2,"")</f>
        <v/>
      </c>
      <c r="AJ52" s="15"/>
      <c r="AK52" s="15"/>
    </row>
    <row r="53" customFormat="false" ht="15" hidden="false" customHeight="false" outlineLevel="0" collapsed="false">
      <c r="A53" s="2" t="str">
        <f aca="false">IF(E53&lt;&gt;"",ROW()-1,"")</f>
        <v/>
      </c>
      <c r="B53" s="3"/>
      <c r="C53" s="3"/>
      <c r="D53" s="3"/>
      <c r="E53" s="4"/>
      <c r="F53" s="4"/>
      <c r="G53" s="5"/>
      <c r="H53" s="4"/>
      <c r="I53" s="4"/>
      <c r="J53" s="4"/>
      <c r="K53" s="4"/>
      <c r="L53" s="6" t="str">
        <f aca="false">IF(AND(G53&lt;&gt;"",H53&gt;0),ROUND(G53/H53,0),"")</f>
        <v/>
      </c>
      <c r="M53" s="6" t="str">
        <f aca="false">IF(F53&lt;&gt;"",IFERROR(VLOOKUP(F53,TablaRef,2,FALSE()),"?"),"")</f>
        <v/>
      </c>
      <c r="N53" s="7" t="str">
        <f aca="false">IF(AND(L53&lt;&gt;"",M53&lt;&gt;"",ISNUMBER(M53)),IF(L53&lt;M53*(1-MargenPct),"🟢",IF(L53&gt;M53*(1+MargenPct),"🔴","🟡")),"")</f>
        <v/>
      </c>
      <c r="O53" s="8" t="str">
        <f aca="false">IF(G53&lt;&gt;"",W53+X53+Y53+Z53+AB53+AC53+AD53,"")</f>
        <v/>
      </c>
      <c r="P53" s="9" t="str">
        <f aca="false">IF(G53&lt;&gt;"",IF(O53&lt;=Presupuesto,"✓","✗"),"")</f>
        <v/>
      </c>
      <c r="Q53" s="10" t="str">
        <f aca="false">IF(G53&lt;&gt;"",Presupuesto-O53,"")</f>
        <v/>
      </c>
      <c r="R53" s="11"/>
      <c r="S53" s="11"/>
      <c r="T53" s="12"/>
      <c r="U53" s="12"/>
      <c r="V53" s="11"/>
      <c r="W53" s="13" t="str">
        <f aca="false">IF(G53&lt;&gt;"",MAX(G53-Credito,G53*0.1),"")</f>
        <v/>
      </c>
      <c r="X53" s="13" t="str">
        <f aca="false">IF(G53&lt;&gt;"",ROUND(G53*0.02*1.21,0),"")</f>
        <v/>
      </c>
      <c r="Y53" s="13" t="str">
        <f aca="false">IF(G53&lt;&gt;"",IF(G53&lt;=140000,0,ROUND(G53*0.0175,0)),"")</f>
        <v/>
      </c>
      <c r="Z53" s="13" t="str">
        <f aca="false">IF(G53&lt;&gt;"",ROUND(G53*0.004,0),"")</f>
        <v/>
      </c>
      <c r="AA53" s="14"/>
      <c r="AB53" s="13" t="str">
        <f aca="false">IF(G53&lt;&gt;"",IF(AA53="Sí",ROUND(G53*0.04*1.21,0),0),"")</f>
        <v/>
      </c>
      <c r="AC53" s="13" t="str">
        <f aca="false">IF(G53&lt;&gt;"",ROUND(G53*0.01,0),"")</f>
        <v/>
      </c>
      <c r="AD53" s="13" t="str">
        <f aca="false">IF(G53&lt;&gt;"",300,"")</f>
        <v/>
      </c>
      <c r="AE53" s="15"/>
      <c r="AF53" s="15"/>
      <c r="AG53" s="16"/>
      <c r="AH53" s="16"/>
      <c r="AI53" s="17" t="str">
        <f aca="false">IF(AND(AG53&lt;&gt;"",AH53&lt;&gt;""),(AG53+AH53)/2,"")</f>
        <v/>
      </c>
      <c r="AJ53" s="15"/>
      <c r="AK53" s="15"/>
    </row>
    <row r="54" customFormat="false" ht="15" hidden="false" customHeight="false" outlineLevel="0" collapsed="false">
      <c r="A54" s="2" t="str">
        <f aca="false">IF(E54&lt;&gt;"",ROW()-1,"")</f>
        <v/>
      </c>
      <c r="B54" s="3"/>
      <c r="C54" s="3"/>
      <c r="D54" s="3"/>
      <c r="E54" s="4"/>
      <c r="F54" s="4"/>
      <c r="G54" s="5"/>
      <c r="H54" s="4"/>
      <c r="I54" s="4"/>
      <c r="J54" s="4"/>
      <c r="K54" s="4"/>
      <c r="L54" s="6" t="str">
        <f aca="false">IF(AND(G54&lt;&gt;"",H54&gt;0),ROUND(G54/H54,0),"")</f>
        <v/>
      </c>
      <c r="M54" s="6" t="str">
        <f aca="false">IF(F54&lt;&gt;"",IFERROR(VLOOKUP(F54,TablaRef,2,FALSE()),"?"),"")</f>
        <v/>
      </c>
      <c r="N54" s="7" t="str">
        <f aca="false">IF(AND(L54&lt;&gt;"",M54&lt;&gt;"",ISNUMBER(M54)),IF(L54&lt;M54*(1-MargenPct),"🟢",IF(L54&gt;M54*(1+MargenPct),"🔴","🟡")),"")</f>
        <v/>
      </c>
      <c r="O54" s="8" t="str">
        <f aca="false">IF(G54&lt;&gt;"",W54+X54+Y54+Z54+AB54+AC54+AD54,"")</f>
        <v/>
      </c>
      <c r="P54" s="9" t="str">
        <f aca="false">IF(G54&lt;&gt;"",IF(O54&lt;=Presupuesto,"✓","✗"),"")</f>
        <v/>
      </c>
      <c r="Q54" s="10" t="str">
        <f aca="false">IF(G54&lt;&gt;"",Presupuesto-O54,"")</f>
        <v/>
      </c>
      <c r="R54" s="11"/>
      <c r="S54" s="11"/>
      <c r="T54" s="12"/>
      <c r="U54" s="12"/>
      <c r="V54" s="11"/>
      <c r="W54" s="13" t="str">
        <f aca="false">IF(G54&lt;&gt;"",MAX(G54-Credito,G54*0.1),"")</f>
        <v/>
      </c>
      <c r="X54" s="13" t="str">
        <f aca="false">IF(G54&lt;&gt;"",ROUND(G54*0.02*1.21,0),"")</f>
        <v/>
      </c>
      <c r="Y54" s="13" t="str">
        <f aca="false">IF(G54&lt;&gt;"",IF(G54&lt;=140000,0,ROUND(G54*0.0175,0)),"")</f>
        <v/>
      </c>
      <c r="Z54" s="13" t="str">
        <f aca="false">IF(G54&lt;&gt;"",ROUND(G54*0.004,0),"")</f>
        <v/>
      </c>
      <c r="AA54" s="14"/>
      <c r="AB54" s="13" t="str">
        <f aca="false">IF(G54&lt;&gt;"",IF(AA54="Sí",ROUND(G54*0.04*1.21,0),0),"")</f>
        <v/>
      </c>
      <c r="AC54" s="13" t="str">
        <f aca="false">IF(G54&lt;&gt;"",ROUND(G54*0.01,0),"")</f>
        <v/>
      </c>
      <c r="AD54" s="13" t="str">
        <f aca="false">IF(G54&lt;&gt;"",300,"")</f>
        <v/>
      </c>
      <c r="AE54" s="15"/>
      <c r="AF54" s="15"/>
      <c r="AG54" s="16"/>
      <c r="AH54" s="16"/>
      <c r="AI54" s="17" t="str">
        <f aca="false">IF(AND(AG54&lt;&gt;"",AH54&lt;&gt;""),(AG54+AH54)/2,"")</f>
        <v/>
      </c>
      <c r="AJ54" s="15"/>
      <c r="AK54" s="15"/>
    </row>
    <row r="55" customFormat="false" ht="15" hidden="false" customHeight="false" outlineLevel="0" collapsed="false">
      <c r="A55" s="2" t="str">
        <f aca="false">IF(E55&lt;&gt;"",ROW()-1,"")</f>
        <v/>
      </c>
      <c r="B55" s="3"/>
      <c r="C55" s="3"/>
      <c r="D55" s="3"/>
      <c r="E55" s="4"/>
      <c r="F55" s="4"/>
      <c r="G55" s="5"/>
      <c r="H55" s="4"/>
      <c r="I55" s="4"/>
      <c r="J55" s="4"/>
      <c r="K55" s="4"/>
      <c r="L55" s="6" t="str">
        <f aca="false">IF(AND(G55&lt;&gt;"",H55&gt;0),ROUND(G55/H55,0),"")</f>
        <v/>
      </c>
      <c r="M55" s="6" t="str">
        <f aca="false">IF(F55&lt;&gt;"",IFERROR(VLOOKUP(F55,TablaRef,2,FALSE()),"?"),"")</f>
        <v/>
      </c>
      <c r="N55" s="7" t="str">
        <f aca="false">IF(AND(L55&lt;&gt;"",M55&lt;&gt;"",ISNUMBER(M55)),IF(L55&lt;M55*(1-MargenPct),"🟢",IF(L55&gt;M55*(1+MargenPct),"🔴","🟡")),"")</f>
        <v/>
      </c>
      <c r="O55" s="8" t="str">
        <f aca="false">IF(G55&lt;&gt;"",W55+X55+Y55+Z55+AB55+AC55+AD55,"")</f>
        <v/>
      </c>
      <c r="P55" s="9" t="str">
        <f aca="false">IF(G55&lt;&gt;"",IF(O55&lt;=Presupuesto,"✓","✗"),"")</f>
        <v/>
      </c>
      <c r="Q55" s="10" t="str">
        <f aca="false">IF(G55&lt;&gt;"",Presupuesto-O55,"")</f>
        <v/>
      </c>
      <c r="R55" s="11"/>
      <c r="S55" s="11"/>
      <c r="T55" s="12"/>
      <c r="U55" s="12"/>
      <c r="V55" s="11"/>
      <c r="W55" s="13" t="str">
        <f aca="false">IF(G55&lt;&gt;"",MAX(G55-Credito,G55*0.1),"")</f>
        <v/>
      </c>
      <c r="X55" s="13" t="str">
        <f aca="false">IF(G55&lt;&gt;"",ROUND(G55*0.02*1.21,0),"")</f>
        <v/>
      </c>
      <c r="Y55" s="13" t="str">
        <f aca="false">IF(G55&lt;&gt;"",IF(G55&lt;=140000,0,ROUND(G55*0.0175,0)),"")</f>
        <v/>
      </c>
      <c r="Z55" s="13" t="str">
        <f aca="false">IF(G55&lt;&gt;"",ROUND(G55*0.004,0),"")</f>
        <v/>
      </c>
      <c r="AA55" s="14"/>
      <c r="AB55" s="13" t="str">
        <f aca="false">IF(G55&lt;&gt;"",IF(AA55="Sí",ROUND(G55*0.04*1.21,0),0),"")</f>
        <v/>
      </c>
      <c r="AC55" s="13" t="str">
        <f aca="false">IF(G55&lt;&gt;"",ROUND(G55*0.01,0),"")</f>
        <v/>
      </c>
      <c r="AD55" s="13" t="str">
        <f aca="false">IF(G55&lt;&gt;"",300,"")</f>
        <v/>
      </c>
      <c r="AE55" s="15"/>
      <c r="AF55" s="15"/>
      <c r="AG55" s="16"/>
      <c r="AH55" s="16"/>
      <c r="AI55" s="17" t="str">
        <f aca="false">IF(AND(AG55&lt;&gt;"",AH55&lt;&gt;""),(AG55+AH55)/2,"")</f>
        <v/>
      </c>
      <c r="AJ55" s="15"/>
      <c r="AK55" s="15"/>
    </row>
    <row r="56" customFormat="false" ht="15" hidden="false" customHeight="false" outlineLevel="0" collapsed="false">
      <c r="A56" s="2" t="str">
        <f aca="false">IF(E56&lt;&gt;"",ROW()-1,"")</f>
        <v/>
      </c>
      <c r="B56" s="3"/>
      <c r="C56" s="3"/>
      <c r="D56" s="3"/>
      <c r="E56" s="4"/>
      <c r="F56" s="4"/>
      <c r="G56" s="5"/>
      <c r="H56" s="4"/>
      <c r="I56" s="4"/>
      <c r="J56" s="4"/>
      <c r="K56" s="4"/>
      <c r="L56" s="6" t="str">
        <f aca="false">IF(AND(G56&lt;&gt;"",H56&gt;0),ROUND(G56/H56,0),"")</f>
        <v/>
      </c>
      <c r="M56" s="6" t="str">
        <f aca="false">IF(F56&lt;&gt;"",IFERROR(VLOOKUP(F56,TablaRef,2,FALSE()),"?"),"")</f>
        <v/>
      </c>
      <c r="N56" s="7" t="str">
        <f aca="false">IF(AND(L56&lt;&gt;"",M56&lt;&gt;"",ISNUMBER(M56)),IF(L56&lt;M56*(1-MargenPct),"🟢",IF(L56&gt;M56*(1+MargenPct),"🔴","🟡")),"")</f>
        <v/>
      </c>
      <c r="O56" s="8" t="str">
        <f aca="false">IF(G56&lt;&gt;"",W56+X56+Y56+Z56+AB56+AC56+AD56,"")</f>
        <v/>
      </c>
      <c r="P56" s="9" t="str">
        <f aca="false">IF(G56&lt;&gt;"",IF(O56&lt;=Presupuesto,"✓","✗"),"")</f>
        <v/>
      </c>
      <c r="Q56" s="10" t="str">
        <f aca="false">IF(G56&lt;&gt;"",Presupuesto-O56,"")</f>
        <v/>
      </c>
      <c r="R56" s="11"/>
      <c r="S56" s="11"/>
      <c r="T56" s="12"/>
      <c r="U56" s="12"/>
      <c r="V56" s="11"/>
      <c r="W56" s="13" t="str">
        <f aca="false">IF(G56&lt;&gt;"",MAX(G56-Credito,G56*0.1),"")</f>
        <v/>
      </c>
      <c r="X56" s="13" t="str">
        <f aca="false">IF(G56&lt;&gt;"",ROUND(G56*0.02*1.21,0),"")</f>
        <v/>
      </c>
      <c r="Y56" s="13" t="str">
        <f aca="false">IF(G56&lt;&gt;"",IF(G56&lt;=140000,0,ROUND(G56*0.0175,0)),"")</f>
        <v/>
      </c>
      <c r="Z56" s="13" t="str">
        <f aca="false">IF(G56&lt;&gt;"",ROUND(G56*0.004,0),"")</f>
        <v/>
      </c>
      <c r="AA56" s="14"/>
      <c r="AB56" s="13" t="str">
        <f aca="false">IF(G56&lt;&gt;"",IF(AA56="Sí",ROUND(G56*0.04*1.21,0),0),"")</f>
        <v/>
      </c>
      <c r="AC56" s="13" t="str">
        <f aca="false">IF(G56&lt;&gt;"",ROUND(G56*0.01,0),"")</f>
        <v/>
      </c>
      <c r="AD56" s="13" t="str">
        <f aca="false">IF(G56&lt;&gt;"",300,"")</f>
        <v/>
      </c>
      <c r="AE56" s="15"/>
      <c r="AF56" s="15"/>
      <c r="AG56" s="16"/>
      <c r="AH56" s="16"/>
      <c r="AI56" s="17" t="str">
        <f aca="false">IF(AND(AG56&lt;&gt;"",AH56&lt;&gt;""),(AG56+AH56)/2,"")</f>
        <v/>
      </c>
      <c r="AJ56" s="15"/>
      <c r="AK56" s="15"/>
    </row>
    <row r="57" customFormat="false" ht="15" hidden="false" customHeight="false" outlineLevel="0" collapsed="false">
      <c r="A57" s="2" t="str">
        <f aca="false">IF(E57&lt;&gt;"",ROW()-1,"")</f>
        <v/>
      </c>
      <c r="B57" s="3"/>
      <c r="C57" s="3"/>
      <c r="D57" s="3"/>
      <c r="E57" s="4"/>
      <c r="F57" s="4"/>
      <c r="G57" s="5"/>
      <c r="H57" s="4"/>
      <c r="I57" s="4"/>
      <c r="J57" s="4"/>
      <c r="K57" s="4"/>
      <c r="L57" s="6" t="str">
        <f aca="false">IF(AND(G57&lt;&gt;"",H57&gt;0),ROUND(G57/H57,0),"")</f>
        <v/>
      </c>
      <c r="M57" s="6" t="str">
        <f aca="false">IF(F57&lt;&gt;"",IFERROR(VLOOKUP(F57,TablaRef,2,FALSE()),"?"),"")</f>
        <v/>
      </c>
      <c r="N57" s="7" t="str">
        <f aca="false">IF(AND(L57&lt;&gt;"",M57&lt;&gt;"",ISNUMBER(M57)),IF(L57&lt;M57*(1-MargenPct),"🟢",IF(L57&gt;M57*(1+MargenPct),"🔴","🟡")),"")</f>
        <v/>
      </c>
      <c r="O57" s="8" t="str">
        <f aca="false">IF(G57&lt;&gt;"",W57+X57+Y57+Z57+AB57+AC57+AD57,"")</f>
        <v/>
      </c>
      <c r="P57" s="9" t="str">
        <f aca="false">IF(G57&lt;&gt;"",IF(O57&lt;=Presupuesto,"✓","✗"),"")</f>
        <v/>
      </c>
      <c r="Q57" s="10" t="str">
        <f aca="false">IF(G57&lt;&gt;"",Presupuesto-O57,"")</f>
        <v/>
      </c>
      <c r="R57" s="11"/>
      <c r="S57" s="11"/>
      <c r="T57" s="12"/>
      <c r="U57" s="12"/>
      <c r="V57" s="11"/>
      <c r="W57" s="13" t="str">
        <f aca="false">IF(G57&lt;&gt;"",MAX(G57-Credito,G57*0.1),"")</f>
        <v/>
      </c>
      <c r="X57" s="13" t="str">
        <f aca="false">IF(G57&lt;&gt;"",ROUND(G57*0.02*1.21,0),"")</f>
        <v/>
      </c>
      <c r="Y57" s="13" t="str">
        <f aca="false">IF(G57&lt;&gt;"",IF(G57&lt;=140000,0,ROUND(G57*0.0175,0)),"")</f>
        <v/>
      </c>
      <c r="Z57" s="13" t="str">
        <f aca="false">IF(G57&lt;&gt;"",ROUND(G57*0.004,0),"")</f>
        <v/>
      </c>
      <c r="AA57" s="14"/>
      <c r="AB57" s="13" t="str">
        <f aca="false">IF(G57&lt;&gt;"",IF(AA57="Sí",ROUND(G57*0.04*1.21,0),0),"")</f>
        <v/>
      </c>
      <c r="AC57" s="13" t="str">
        <f aca="false">IF(G57&lt;&gt;"",ROUND(G57*0.01,0),"")</f>
        <v/>
      </c>
      <c r="AD57" s="13" t="str">
        <f aca="false">IF(G57&lt;&gt;"",300,"")</f>
        <v/>
      </c>
      <c r="AE57" s="15"/>
      <c r="AF57" s="15"/>
      <c r="AG57" s="16"/>
      <c r="AH57" s="16"/>
      <c r="AI57" s="17" t="str">
        <f aca="false">IF(AND(AG57&lt;&gt;"",AH57&lt;&gt;""),(AG57+AH57)/2,"")</f>
        <v/>
      </c>
      <c r="AJ57" s="15"/>
      <c r="AK57" s="15"/>
    </row>
    <row r="58" customFormat="false" ht="15" hidden="false" customHeight="false" outlineLevel="0" collapsed="false">
      <c r="A58" s="2" t="str">
        <f aca="false">IF(E58&lt;&gt;"",ROW()-1,"")</f>
        <v/>
      </c>
      <c r="B58" s="3"/>
      <c r="C58" s="3"/>
      <c r="D58" s="3"/>
      <c r="E58" s="4"/>
      <c r="F58" s="4"/>
      <c r="G58" s="5"/>
      <c r="H58" s="4"/>
      <c r="I58" s="4"/>
      <c r="J58" s="4"/>
      <c r="K58" s="4"/>
      <c r="L58" s="6" t="str">
        <f aca="false">IF(AND(G58&lt;&gt;"",H58&gt;0),ROUND(G58/H58,0),"")</f>
        <v/>
      </c>
      <c r="M58" s="6" t="str">
        <f aca="false">IF(F58&lt;&gt;"",IFERROR(VLOOKUP(F58,TablaRef,2,FALSE()),"?"),"")</f>
        <v/>
      </c>
      <c r="N58" s="7" t="str">
        <f aca="false">IF(AND(L58&lt;&gt;"",M58&lt;&gt;"",ISNUMBER(M58)),IF(L58&lt;M58*(1-MargenPct),"🟢",IF(L58&gt;M58*(1+MargenPct),"🔴","🟡")),"")</f>
        <v/>
      </c>
      <c r="O58" s="8" t="str">
        <f aca="false">IF(G58&lt;&gt;"",W58+X58+Y58+Z58+AB58+AC58+AD58,"")</f>
        <v/>
      </c>
      <c r="P58" s="9" t="str">
        <f aca="false">IF(G58&lt;&gt;"",IF(O58&lt;=Presupuesto,"✓","✗"),"")</f>
        <v/>
      </c>
      <c r="Q58" s="10" t="str">
        <f aca="false">IF(G58&lt;&gt;"",Presupuesto-O58,"")</f>
        <v/>
      </c>
      <c r="R58" s="11"/>
      <c r="S58" s="11"/>
      <c r="T58" s="12"/>
      <c r="U58" s="12"/>
      <c r="V58" s="11"/>
      <c r="W58" s="13" t="str">
        <f aca="false">IF(G58&lt;&gt;"",MAX(G58-Credito,G58*0.1),"")</f>
        <v/>
      </c>
      <c r="X58" s="13" t="str">
        <f aca="false">IF(G58&lt;&gt;"",ROUND(G58*0.02*1.21,0),"")</f>
        <v/>
      </c>
      <c r="Y58" s="13" t="str">
        <f aca="false">IF(G58&lt;&gt;"",IF(G58&lt;=140000,0,ROUND(G58*0.0175,0)),"")</f>
        <v/>
      </c>
      <c r="Z58" s="13" t="str">
        <f aca="false">IF(G58&lt;&gt;"",ROUND(G58*0.004,0),"")</f>
        <v/>
      </c>
      <c r="AA58" s="14"/>
      <c r="AB58" s="13" t="str">
        <f aca="false">IF(G58&lt;&gt;"",IF(AA58="Sí",ROUND(G58*0.04*1.21,0),0),"")</f>
        <v/>
      </c>
      <c r="AC58" s="13" t="str">
        <f aca="false">IF(G58&lt;&gt;"",ROUND(G58*0.01,0),"")</f>
        <v/>
      </c>
      <c r="AD58" s="13" t="str">
        <f aca="false">IF(G58&lt;&gt;"",300,"")</f>
        <v/>
      </c>
      <c r="AE58" s="15"/>
      <c r="AF58" s="15"/>
      <c r="AG58" s="16"/>
      <c r="AH58" s="16"/>
      <c r="AI58" s="17" t="str">
        <f aca="false">IF(AND(AG58&lt;&gt;"",AH58&lt;&gt;""),(AG58+AH58)/2,"")</f>
        <v/>
      </c>
      <c r="AJ58" s="15"/>
      <c r="AK58" s="15"/>
    </row>
    <row r="59" customFormat="false" ht="15" hidden="false" customHeight="false" outlineLevel="0" collapsed="false">
      <c r="A59" s="2" t="str">
        <f aca="false">IF(E59&lt;&gt;"",ROW()-1,"")</f>
        <v/>
      </c>
      <c r="B59" s="3"/>
      <c r="C59" s="3"/>
      <c r="D59" s="3"/>
      <c r="E59" s="4"/>
      <c r="F59" s="4"/>
      <c r="G59" s="5"/>
      <c r="H59" s="4"/>
      <c r="I59" s="4"/>
      <c r="J59" s="4"/>
      <c r="K59" s="4"/>
      <c r="L59" s="6" t="str">
        <f aca="false">IF(AND(G59&lt;&gt;"",H59&gt;0),ROUND(G59/H59,0),"")</f>
        <v/>
      </c>
      <c r="M59" s="6" t="str">
        <f aca="false">IF(F59&lt;&gt;"",IFERROR(VLOOKUP(F59,TablaRef,2,FALSE()),"?"),"")</f>
        <v/>
      </c>
      <c r="N59" s="7" t="str">
        <f aca="false">IF(AND(L59&lt;&gt;"",M59&lt;&gt;"",ISNUMBER(M59)),IF(L59&lt;M59*(1-MargenPct),"🟢",IF(L59&gt;M59*(1+MargenPct),"🔴","🟡")),"")</f>
        <v/>
      </c>
      <c r="O59" s="8" t="str">
        <f aca="false">IF(G59&lt;&gt;"",W59+X59+Y59+Z59+AB59+AC59+AD59,"")</f>
        <v/>
      </c>
      <c r="P59" s="9" t="str">
        <f aca="false">IF(G59&lt;&gt;"",IF(O59&lt;=Presupuesto,"✓","✗"),"")</f>
        <v/>
      </c>
      <c r="Q59" s="10" t="str">
        <f aca="false">IF(G59&lt;&gt;"",Presupuesto-O59,"")</f>
        <v/>
      </c>
      <c r="R59" s="11"/>
      <c r="S59" s="11"/>
      <c r="T59" s="12"/>
      <c r="U59" s="12"/>
      <c r="V59" s="11"/>
      <c r="W59" s="13" t="str">
        <f aca="false">IF(G59&lt;&gt;"",MAX(G59-Credito,G59*0.1),"")</f>
        <v/>
      </c>
      <c r="X59" s="13" t="str">
        <f aca="false">IF(G59&lt;&gt;"",ROUND(G59*0.02*1.21,0),"")</f>
        <v/>
      </c>
      <c r="Y59" s="13" t="str">
        <f aca="false">IF(G59&lt;&gt;"",IF(G59&lt;=140000,0,ROUND(G59*0.0175,0)),"")</f>
        <v/>
      </c>
      <c r="Z59" s="13" t="str">
        <f aca="false">IF(G59&lt;&gt;"",ROUND(G59*0.004,0),"")</f>
        <v/>
      </c>
      <c r="AA59" s="14"/>
      <c r="AB59" s="13" t="str">
        <f aca="false">IF(G59&lt;&gt;"",IF(AA59="Sí",ROUND(G59*0.04*1.21,0),0),"")</f>
        <v/>
      </c>
      <c r="AC59" s="13" t="str">
        <f aca="false">IF(G59&lt;&gt;"",ROUND(G59*0.01,0),"")</f>
        <v/>
      </c>
      <c r="AD59" s="13" t="str">
        <f aca="false">IF(G59&lt;&gt;"",300,"")</f>
        <v/>
      </c>
      <c r="AE59" s="15"/>
      <c r="AF59" s="15"/>
      <c r="AG59" s="16"/>
      <c r="AH59" s="16"/>
      <c r="AI59" s="17" t="str">
        <f aca="false">IF(AND(AG59&lt;&gt;"",AH59&lt;&gt;""),(AG59+AH59)/2,"")</f>
        <v/>
      </c>
      <c r="AJ59" s="15"/>
      <c r="AK59" s="15"/>
    </row>
    <row r="60" customFormat="false" ht="15" hidden="false" customHeight="false" outlineLevel="0" collapsed="false">
      <c r="A60" s="2" t="str">
        <f aca="false">IF(E60&lt;&gt;"",ROW()-1,"")</f>
        <v/>
      </c>
      <c r="B60" s="3"/>
      <c r="C60" s="3"/>
      <c r="D60" s="3"/>
      <c r="E60" s="4"/>
      <c r="F60" s="4"/>
      <c r="G60" s="5"/>
      <c r="H60" s="4"/>
      <c r="I60" s="4"/>
      <c r="J60" s="4"/>
      <c r="K60" s="4"/>
      <c r="L60" s="6" t="str">
        <f aca="false">IF(AND(G60&lt;&gt;"",H60&gt;0),ROUND(G60/H60,0),"")</f>
        <v/>
      </c>
      <c r="M60" s="6" t="str">
        <f aca="false">IF(F60&lt;&gt;"",IFERROR(VLOOKUP(F60,TablaRef,2,FALSE()),"?"),"")</f>
        <v/>
      </c>
      <c r="N60" s="7" t="str">
        <f aca="false">IF(AND(L60&lt;&gt;"",M60&lt;&gt;"",ISNUMBER(M60)),IF(L60&lt;M60*(1-MargenPct),"🟢",IF(L60&gt;M60*(1+MargenPct),"🔴","🟡")),"")</f>
        <v/>
      </c>
      <c r="O60" s="8" t="str">
        <f aca="false">IF(G60&lt;&gt;"",W60+X60+Y60+Z60+AB60+AC60+AD60,"")</f>
        <v/>
      </c>
      <c r="P60" s="9" t="str">
        <f aca="false">IF(G60&lt;&gt;"",IF(O60&lt;=Presupuesto,"✓","✗"),"")</f>
        <v/>
      </c>
      <c r="Q60" s="10" t="str">
        <f aca="false">IF(G60&lt;&gt;"",Presupuesto-O60,"")</f>
        <v/>
      </c>
      <c r="R60" s="11"/>
      <c r="S60" s="11"/>
      <c r="T60" s="12"/>
      <c r="U60" s="12"/>
      <c r="V60" s="11"/>
      <c r="W60" s="13" t="str">
        <f aca="false">IF(G60&lt;&gt;"",MAX(G60-Credito,G60*0.1),"")</f>
        <v/>
      </c>
      <c r="X60" s="13" t="str">
        <f aca="false">IF(G60&lt;&gt;"",ROUND(G60*0.02*1.21,0),"")</f>
        <v/>
      </c>
      <c r="Y60" s="13" t="str">
        <f aca="false">IF(G60&lt;&gt;"",IF(G60&lt;=140000,0,ROUND(G60*0.0175,0)),"")</f>
        <v/>
      </c>
      <c r="Z60" s="13" t="str">
        <f aca="false">IF(G60&lt;&gt;"",ROUND(G60*0.004,0),"")</f>
        <v/>
      </c>
      <c r="AA60" s="14"/>
      <c r="AB60" s="13" t="str">
        <f aca="false">IF(G60&lt;&gt;"",IF(AA60="Sí",ROUND(G60*0.04*1.21,0),0),"")</f>
        <v/>
      </c>
      <c r="AC60" s="13" t="str">
        <f aca="false">IF(G60&lt;&gt;"",ROUND(G60*0.01,0),"")</f>
        <v/>
      </c>
      <c r="AD60" s="13" t="str">
        <f aca="false">IF(G60&lt;&gt;"",300,"")</f>
        <v/>
      </c>
      <c r="AE60" s="15"/>
      <c r="AF60" s="15"/>
      <c r="AG60" s="16"/>
      <c r="AH60" s="16"/>
      <c r="AI60" s="17" t="str">
        <f aca="false">IF(AND(AG60&lt;&gt;"",AH60&lt;&gt;""),(AG60+AH60)/2,"")</f>
        <v/>
      </c>
      <c r="AJ60" s="15"/>
      <c r="AK60" s="15"/>
    </row>
    <row r="61" customFormat="false" ht="15" hidden="false" customHeight="false" outlineLevel="0" collapsed="false">
      <c r="A61" s="2" t="str">
        <f aca="false">IF(E61&lt;&gt;"",ROW()-1,"")</f>
        <v/>
      </c>
      <c r="B61" s="3"/>
      <c r="C61" s="3"/>
      <c r="D61" s="3"/>
      <c r="E61" s="4"/>
      <c r="F61" s="4"/>
      <c r="G61" s="5"/>
      <c r="H61" s="4"/>
      <c r="I61" s="4"/>
      <c r="J61" s="4"/>
      <c r="K61" s="4"/>
      <c r="L61" s="6" t="str">
        <f aca="false">IF(AND(G61&lt;&gt;"",H61&gt;0),ROUND(G61/H61,0),"")</f>
        <v/>
      </c>
      <c r="M61" s="6" t="str">
        <f aca="false">IF(F61&lt;&gt;"",IFERROR(VLOOKUP(F61,TablaRef,2,FALSE()),"?"),"")</f>
        <v/>
      </c>
      <c r="N61" s="7" t="str">
        <f aca="false">IF(AND(L61&lt;&gt;"",M61&lt;&gt;"",ISNUMBER(M61)),IF(L61&lt;M61*(1-MargenPct),"🟢",IF(L61&gt;M61*(1+MargenPct),"🔴","🟡")),"")</f>
        <v/>
      </c>
      <c r="O61" s="8" t="str">
        <f aca="false">IF(G61&lt;&gt;"",W61+X61+Y61+Z61+AB61+AC61+AD61,"")</f>
        <v/>
      </c>
      <c r="P61" s="9" t="str">
        <f aca="false">IF(G61&lt;&gt;"",IF(O61&lt;=Presupuesto,"✓","✗"),"")</f>
        <v/>
      </c>
      <c r="Q61" s="10" t="str">
        <f aca="false">IF(G61&lt;&gt;"",Presupuesto-O61,"")</f>
        <v/>
      </c>
      <c r="R61" s="11"/>
      <c r="S61" s="11"/>
      <c r="T61" s="12"/>
      <c r="U61" s="12"/>
      <c r="V61" s="11"/>
      <c r="W61" s="13" t="str">
        <f aca="false">IF(G61&lt;&gt;"",MAX(G61-Credito,G61*0.1),"")</f>
        <v/>
      </c>
      <c r="X61" s="13" t="str">
        <f aca="false">IF(G61&lt;&gt;"",ROUND(G61*0.02*1.21,0),"")</f>
        <v/>
      </c>
      <c r="Y61" s="13" t="str">
        <f aca="false">IF(G61&lt;&gt;"",IF(G61&lt;=140000,0,ROUND(G61*0.0175,0)),"")</f>
        <v/>
      </c>
      <c r="Z61" s="13" t="str">
        <f aca="false">IF(G61&lt;&gt;"",ROUND(G61*0.004,0),"")</f>
        <v/>
      </c>
      <c r="AA61" s="14"/>
      <c r="AB61" s="13" t="str">
        <f aca="false">IF(G61&lt;&gt;"",IF(AA61="Sí",ROUND(G61*0.04*1.21,0),0),"")</f>
        <v/>
      </c>
      <c r="AC61" s="13" t="str">
        <f aca="false">IF(G61&lt;&gt;"",ROUND(G61*0.01,0),"")</f>
        <v/>
      </c>
      <c r="AD61" s="13" t="str">
        <f aca="false">IF(G61&lt;&gt;"",300,"")</f>
        <v/>
      </c>
      <c r="AE61" s="15"/>
      <c r="AF61" s="15"/>
      <c r="AG61" s="16"/>
      <c r="AH61" s="16"/>
      <c r="AI61" s="17" t="str">
        <f aca="false">IF(AND(AG61&lt;&gt;"",AH61&lt;&gt;""),(AG61+AH61)/2,"")</f>
        <v/>
      </c>
      <c r="AJ61" s="15"/>
      <c r="AK61" s="15"/>
    </row>
    <row r="62" customFormat="false" ht="15" hidden="false" customHeight="false" outlineLevel="0" collapsed="false">
      <c r="A62" s="2" t="str">
        <f aca="false">IF(E62&lt;&gt;"",ROW()-1,"")</f>
        <v/>
      </c>
      <c r="B62" s="3"/>
      <c r="C62" s="3"/>
      <c r="D62" s="3"/>
      <c r="E62" s="4"/>
      <c r="F62" s="4"/>
      <c r="G62" s="5"/>
      <c r="H62" s="4"/>
      <c r="I62" s="4"/>
      <c r="J62" s="4"/>
      <c r="K62" s="4"/>
      <c r="L62" s="6" t="str">
        <f aca="false">IF(AND(G62&lt;&gt;"",H62&gt;0),ROUND(G62/H62,0),"")</f>
        <v/>
      </c>
      <c r="M62" s="6" t="str">
        <f aca="false">IF(F62&lt;&gt;"",IFERROR(VLOOKUP(F62,TablaRef,2,FALSE()),"?"),"")</f>
        <v/>
      </c>
      <c r="N62" s="7" t="str">
        <f aca="false">IF(AND(L62&lt;&gt;"",M62&lt;&gt;"",ISNUMBER(M62)),IF(L62&lt;M62*(1-MargenPct),"🟢",IF(L62&gt;M62*(1+MargenPct),"🔴","🟡")),"")</f>
        <v/>
      </c>
      <c r="O62" s="8" t="str">
        <f aca="false">IF(G62&lt;&gt;"",W62+X62+Y62+Z62+AB62+AC62+AD62,"")</f>
        <v/>
      </c>
      <c r="P62" s="9" t="str">
        <f aca="false">IF(G62&lt;&gt;"",IF(O62&lt;=Presupuesto,"✓","✗"),"")</f>
        <v/>
      </c>
      <c r="Q62" s="10" t="str">
        <f aca="false">IF(G62&lt;&gt;"",Presupuesto-O62,"")</f>
        <v/>
      </c>
      <c r="R62" s="11"/>
      <c r="S62" s="11"/>
      <c r="T62" s="12"/>
      <c r="U62" s="12"/>
      <c r="V62" s="11"/>
      <c r="W62" s="13" t="str">
        <f aca="false">IF(G62&lt;&gt;"",MAX(G62-Credito,G62*0.1),"")</f>
        <v/>
      </c>
      <c r="X62" s="13" t="str">
        <f aca="false">IF(G62&lt;&gt;"",ROUND(G62*0.02*1.21,0),"")</f>
        <v/>
      </c>
      <c r="Y62" s="13" t="str">
        <f aca="false">IF(G62&lt;&gt;"",IF(G62&lt;=140000,0,ROUND(G62*0.0175,0)),"")</f>
        <v/>
      </c>
      <c r="Z62" s="13" t="str">
        <f aca="false">IF(G62&lt;&gt;"",ROUND(G62*0.004,0),"")</f>
        <v/>
      </c>
      <c r="AA62" s="14"/>
      <c r="AB62" s="13" t="str">
        <f aca="false">IF(G62&lt;&gt;"",IF(AA62="Sí",ROUND(G62*0.04*1.21,0),0),"")</f>
        <v/>
      </c>
      <c r="AC62" s="13" t="str">
        <f aca="false">IF(G62&lt;&gt;"",ROUND(G62*0.01,0),"")</f>
        <v/>
      </c>
      <c r="AD62" s="13" t="str">
        <f aca="false">IF(G62&lt;&gt;"",300,"")</f>
        <v/>
      </c>
      <c r="AE62" s="15"/>
      <c r="AF62" s="15"/>
      <c r="AG62" s="16"/>
      <c r="AH62" s="16"/>
      <c r="AI62" s="17" t="str">
        <f aca="false">IF(AND(AG62&lt;&gt;"",AH62&lt;&gt;""),(AG62+AH62)/2,"")</f>
        <v/>
      </c>
      <c r="AJ62" s="15"/>
      <c r="AK62" s="15"/>
    </row>
    <row r="63" customFormat="false" ht="15" hidden="false" customHeight="false" outlineLevel="0" collapsed="false">
      <c r="A63" s="2" t="str">
        <f aca="false">IF(E63&lt;&gt;"",ROW()-1,"")</f>
        <v/>
      </c>
      <c r="B63" s="3"/>
      <c r="C63" s="3"/>
      <c r="D63" s="3"/>
      <c r="E63" s="4"/>
      <c r="F63" s="4"/>
      <c r="G63" s="5"/>
      <c r="H63" s="4"/>
      <c r="I63" s="4"/>
      <c r="J63" s="4"/>
      <c r="K63" s="4"/>
      <c r="L63" s="6" t="str">
        <f aca="false">IF(AND(G63&lt;&gt;"",H63&gt;0),ROUND(G63/H63,0),"")</f>
        <v/>
      </c>
      <c r="M63" s="6" t="str">
        <f aca="false">IF(F63&lt;&gt;"",IFERROR(VLOOKUP(F63,TablaRef,2,FALSE()),"?"),"")</f>
        <v/>
      </c>
      <c r="N63" s="7" t="str">
        <f aca="false">IF(AND(L63&lt;&gt;"",M63&lt;&gt;"",ISNUMBER(M63)),IF(L63&lt;M63*(1-MargenPct),"🟢",IF(L63&gt;M63*(1+MargenPct),"🔴","🟡")),"")</f>
        <v/>
      </c>
      <c r="O63" s="8" t="str">
        <f aca="false">IF(G63&lt;&gt;"",W63+X63+Y63+Z63+AB63+AC63+AD63,"")</f>
        <v/>
      </c>
      <c r="P63" s="9" t="str">
        <f aca="false">IF(G63&lt;&gt;"",IF(O63&lt;=Presupuesto,"✓","✗"),"")</f>
        <v/>
      </c>
      <c r="Q63" s="10" t="str">
        <f aca="false">IF(G63&lt;&gt;"",Presupuesto-O63,"")</f>
        <v/>
      </c>
      <c r="R63" s="11"/>
      <c r="S63" s="11"/>
      <c r="T63" s="12"/>
      <c r="U63" s="12"/>
      <c r="V63" s="11"/>
      <c r="W63" s="13" t="str">
        <f aca="false">IF(G63&lt;&gt;"",MAX(G63-Credito,G63*0.1),"")</f>
        <v/>
      </c>
      <c r="X63" s="13" t="str">
        <f aca="false">IF(G63&lt;&gt;"",ROUND(G63*0.02*1.21,0),"")</f>
        <v/>
      </c>
      <c r="Y63" s="13" t="str">
        <f aca="false">IF(G63&lt;&gt;"",IF(G63&lt;=140000,0,ROUND(G63*0.0175,0)),"")</f>
        <v/>
      </c>
      <c r="Z63" s="13" t="str">
        <f aca="false">IF(G63&lt;&gt;"",ROUND(G63*0.004,0),"")</f>
        <v/>
      </c>
      <c r="AA63" s="14"/>
      <c r="AB63" s="13" t="str">
        <f aca="false">IF(G63&lt;&gt;"",IF(AA63="Sí",ROUND(G63*0.04*1.21,0),0),"")</f>
        <v/>
      </c>
      <c r="AC63" s="13" t="str">
        <f aca="false">IF(G63&lt;&gt;"",ROUND(G63*0.01,0),"")</f>
        <v/>
      </c>
      <c r="AD63" s="13" t="str">
        <f aca="false">IF(G63&lt;&gt;"",300,"")</f>
        <v/>
      </c>
      <c r="AE63" s="15"/>
      <c r="AF63" s="15"/>
      <c r="AG63" s="16"/>
      <c r="AH63" s="16"/>
      <c r="AI63" s="17" t="str">
        <f aca="false">IF(AND(AG63&lt;&gt;"",AH63&lt;&gt;""),(AG63+AH63)/2,"")</f>
        <v/>
      </c>
      <c r="AJ63" s="15"/>
      <c r="AK63" s="15"/>
    </row>
    <row r="64" customFormat="false" ht="15" hidden="false" customHeight="false" outlineLevel="0" collapsed="false">
      <c r="A64" s="2" t="str">
        <f aca="false">IF(E64&lt;&gt;"",ROW()-1,"")</f>
        <v/>
      </c>
      <c r="B64" s="3"/>
      <c r="C64" s="3"/>
      <c r="D64" s="3"/>
      <c r="E64" s="4"/>
      <c r="F64" s="4"/>
      <c r="G64" s="5"/>
      <c r="H64" s="4"/>
      <c r="I64" s="4"/>
      <c r="J64" s="4"/>
      <c r="K64" s="4"/>
      <c r="L64" s="6" t="str">
        <f aca="false">IF(AND(G64&lt;&gt;"",H64&gt;0),ROUND(G64/H64,0),"")</f>
        <v/>
      </c>
      <c r="M64" s="6" t="str">
        <f aca="false">IF(F64&lt;&gt;"",IFERROR(VLOOKUP(F64,TablaRef,2,FALSE()),"?"),"")</f>
        <v/>
      </c>
      <c r="N64" s="7" t="str">
        <f aca="false">IF(AND(L64&lt;&gt;"",M64&lt;&gt;"",ISNUMBER(M64)),IF(L64&lt;M64*(1-MargenPct),"🟢",IF(L64&gt;M64*(1+MargenPct),"🔴","🟡")),"")</f>
        <v/>
      </c>
      <c r="O64" s="8" t="str">
        <f aca="false">IF(G64&lt;&gt;"",W64+X64+Y64+Z64+AB64+AC64+AD64,"")</f>
        <v/>
      </c>
      <c r="P64" s="9" t="str">
        <f aca="false">IF(G64&lt;&gt;"",IF(O64&lt;=Presupuesto,"✓","✗"),"")</f>
        <v/>
      </c>
      <c r="Q64" s="10" t="str">
        <f aca="false">IF(G64&lt;&gt;"",Presupuesto-O64,"")</f>
        <v/>
      </c>
      <c r="R64" s="11"/>
      <c r="S64" s="11"/>
      <c r="T64" s="12"/>
      <c r="U64" s="12"/>
      <c r="V64" s="11"/>
      <c r="W64" s="13" t="str">
        <f aca="false">IF(G64&lt;&gt;"",MAX(G64-Credito,G64*0.1),"")</f>
        <v/>
      </c>
      <c r="X64" s="13" t="str">
        <f aca="false">IF(G64&lt;&gt;"",ROUND(G64*0.02*1.21,0),"")</f>
        <v/>
      </c>
      <c r="Y64" s="13" t="str">
        <f aca="false">IF(G64&lt;&gt;"",IF(G64&lt;=140000,0,ROUND(G64*0.0175,0)),"")</f>
        <v/>
      </c>
      <c r="Z64" s="13" t="str">
        <f aca="false">IF(G64&lt;&gt;"",ROUND(G64*0.004,0),"")</f>
        <v/>
      </c>
      <c r="AA64" s="14"/>
      <c r="AB64" s="13" t="str">
        <f aca="false">IF(G64&lt;&gt;"",IF(AA64="Sí",ROUND(G64*0.04*1.21,0),0),"")</f>
        <v/>
      </c>
      <c r="AC64" s="13" t="str">
        <f aca="false">IF(G64&lt;&gt;"",ROUND(G64*0.01,0),"")</f>
        <v/>
      </c>
      <c r="AD64" s="13" t="str">
        <f aca="false">IF(G64&lt;&gt;"",300,"")</f>
        <v/>
      </c>
      <c r="AE64" s="15"/>
      <c r="AF64" s="15"/>
      <c r="AG64" s="16"/>
      <c r="AH64" s="16"/>
      <c r="AI64" s="17" t="str">
        <f aca="false">IF(AND(AG64&lt;&gt;"",AH64&lt;&gt;""),(AG64+AH64)/2,"")</f>
        <v/>
      </c>
      <c r="AJ64" s="15"/>
      <c r="AK64" s="15"/>
    </row>
    <row r="65" customFormat="false" ht="15" hidden="false" customHeight="false" outlineLevel="0" collapsed="false">
      <c r="A65" s="2" t="str">
        <f aca="false">IF(E65&lt;&gt;"",ROW()-1,"")</f>
        <v/>
      </c>
      <c r="B65" s="3"/>
      <c r="C65" s="3"/>
      <c r="D65" s="3"/>
      <c r="E65" s="4"/>
      <c r="F65" s="4"/>
      <c r="G65" s="5"/>
      <c r="H65" s="4"/>
      <c r="I65" s="4"/>
      <c r="J65" s="4"/>
      <c r="K65" s="4"/>
      <c r="L65" s="6" t="str">
        <f aca="false">IF(AND(G65&lt;&gt;"",H65&gt;0),ROUND(G65/H65,0),"")</f>
        <v/>
      </c>
      <c r="M65" s="6" t="str">
        <f aca="false">IF(F65&lt;&gt;"",IFERROR(VLOOKUP(F65,TablaRef,2,FALSE()),"?"),"")</f>
        <v/>
      </c>
      <c r="N65" s="7" t="str">
        <f aca="false">IF(AND(L65&lt;&gt;"",M65&lt;&gt;"",ISNUMBER(M65)),IF(L65&lt;M65*(1-MargenPct),"🟢",IF(L65&gt;M65*(1+MargenPct),"🔴","🟡")),"")</f>
        <v/>
      </c>
      <c r="O65" s="8" t="str">
        <f aca="false">IF(G65&lt;&gt;"",W65+X65+Y65+Z65+AB65+AC65+AD65,"")</f>
        <v/>
      </c>
      <c r="P65" s="9" t="str">
        <f aca="false">IF(G65&lt;&gt;"",IF(O65&lt;=Presupuesto,"✓","✗"),"")</f>
        <v/>
      </c>
      <c r="Q65" s="10" t="str">
        <f aca="false">IF(G65&lt;&gt;"",Presupuesto-O65,"")</f>
        <v/>
      </c>
      <c r="R65" s="11"/>
      <c r="S65" s="11"/>
      <c r="T65" s="12"/>
      <c r="U65" s="12"/>
      <c r="V65" s="11"/>
      <c r="W65" s="13" t="str">
        <f aca="false">IF(G65&lt;&gt;"",MAX(G65-Credito,G65*0.1),"")</f>
        <v/>
      </c>
      <c r="X65" s="13" t="str">
        <f aca="false">IF(G65&lt;&gt;"",ROUND(G65*0.02*1.21,0),"")</f>
        <v/>
      </c>
      <c r="Y65" s="13" t="str">
        <f aca="false">IF(G65&lt;&gt;"",IF(G65&lt;=140000,0,ROUND(G65*0.0175,0)),"")</f>
        <v/>
      </c>
      <c r="Z65" s="13" t="str">
        <f aca="false">IF(G65&lt;&gt;"",ROUND(G65*0.004,0),"")</f>
        <v/>
      </c>
      <c r="AA65" s="14"/>
      <c r="AB65" s="13" t="str">
        <f aca="false">IF(G65&lt;&gt;"",IF(AA65="Sí",ROUND(G65*0.04*1.21,0),0),"")</f>
        <v/>
      </c>
      <c r="AC65" s="13" t="str">
        <f aca="false">IF(G65&lt;&gt;"",ROUND(G65*0.01,0),"")</f>
        <v/>
      </c>
      <c r="AD65" s="13" t="str">
        <f aca="false">IF(G65&lt;&gt;"",300,"")</f>
        <v/>
      </c>
      <c r="AE65" s="15"/>
      <c r="AF65" s="15"/>
      <c r="AG65" s="16"/>
      <c r="AH65" s="16"/>
      <c r="AI65" s="17" t="str">
        <f aca="false">IF(AND(AG65&lt;&gt;"",AH65&lt;&gt;""),(AG65+AH65)/2,"")</f>
        <v/>
      </c>
      <c r="AJ65" s="15"/>
      <c r="AK65" s="15"/>
    </row>
    <row r="66" customFormat="false" ht="15" hidden="false" customHeight="false" outlineLevel="0" collapsed="false">
      <c r="A66" s="2" t="str">
        <f aca="false">IF(E66&lt;&gt;"",ROW()-1,"")</f>
        <v/>
      </c>
      <c r="B66" s="3"/>
      <c r="C66" s="3"/>
      <c r="D66" s="3"/>
      <c r="E66" s="4"/>
      <c r="F66" s="4"/>
      <c r="G66" s="5"/>
      <c r="H66" s="4"/>
      <c r="I66" s="4"/>
      <c r="J66" s="4"/>
      <c r="K66" s="4"/>
      <c r="L66" s="6" t="str">
        <f aca="false">IF(AND(G66&lt;&gt;"",H66&gt;0),ROUND(G66/H66,0),"")</f>
        <v/>
      </c>
      <c r="M66" s="6" t="str">
        <f aca="false">IF(F66&lt;&gt;"",IFERROR(VLOOKUP(F66,TablaRef,2,FALSE()),"?"),"")</f>
        <v/>
      </c>
      <c r="N66" s="7" t="str">
        <f aca="false">IF(AND(L66&lt;&gt;"",M66&lt;&gt;"",ISNUMBER(M66)),IF(L66&lt;M66*(1-MargenPct),"🟢",IF(L66&gt;M66*(1+MargenPct),"🔴","🟡")),"")</f>
        <v/>
      </c>
      <c r="O66" s="8" t="str">
        <f aca="false">IF(G66&lt;&gt;"",W66+X66+Y66+Z66+AB66+AC66+AD66,"")</f>
        <v/>
      </c>
      <c r="P66" s="9" t="str">
        <f aca="false">IF(G66&lt;&gt;"",IF(O66&lt;=Presupuesto,"✓","✗"),"")</f>
        <v/>
      </c>
      <c r="Q66" s="10" t="str">
        <f aca="false">IF(G66&lt;&gt;"",Presupuesto-O66,"")</f>
        <v/>
      </c>
      <c r="R66" s="11"/>
      <c r="S66" s="11"/>
      <c r="T66" s="12"/>
      <c r="U66" s="12"/>
      <c r="V66" s="11"/>
      <c r="W66" s="13" t="str">
        <f aca="false">IF(G66&lt;&gt;"",MAX(G66-Credito,G66*0.1),"")</f>
        <v/>
      </c>
      <c r="X66" s="13" t="str">
        <f aca="false">IF(G66&lt;&gt;"",ROUND(G66*0.02*1.21,0),"")</f>
        <v/>
      </c>
      <c r="Y66" s="13" t="str">
        <f aca="false">IF(G66&lt;&gt;"",IF(G66&lt;=140000,0,ROUND(G66*0.0175,0)),"")</f>
        <v/>
      </c>
      <c r="Z66" s="13" t="str">
        <f aca="false">IF(G66&lt;&gt;"",ROUND(G66*0.004,0),"")</f>
        <v/>
      </c>
      <c r="AA66" s="14"/>
      <c r="AB66" s="13" t="str">
        <f aca="false">IF(G66&lt;&gt;"",IF(AA66="Sí",ROUND(G66*0.04*1.21,0),0),"")</f>
        <v/>
      </c>
      <c r="AC66" s="13" t="str">
        <f aca="false">IF(G66&lt;&gt;"",ROUND(G66*0.01,0),"")</f>
        <v/>
      </c>
      <c r="AD66" s="13" t="str">
        <f aca="false">IF(G66&lt;&gt;"",300,"")</f>
        <v/>
      </c>
      <c r="AE66" s="15"/>
      <c r="AF66" s="15"/>
      <c r="AG66" s="16"/>
      <c r="AH66" s="16"/>
      <c r="AI66" s="17" t="str">
        <f aca="false">IF(AND(AG66&lt;&gt;"",AH66&lt;&gt;""),(AG66+AH66)/2,"")</f>
        <v/>
      </c>
      <c r="AJ66" s="15"/>
      <c r="AK66" s="15"/>
    </row>
    <row r="67" customFormat="false" ht="15" hidden="false" customHeight="false" outlineLevel="0" collapsed="false">
      <c r="A67" s="2" t="str">
        <f aca="false">IF(E67&lt;&gt;"",ROW()-1,"")</f>
        <v/>
      </c>
      <c r="B67" s="3"/>
      <c r="C67" s="3"/>
      <c r="D67" s="3"/>
      <c r="E67" s="4"/>
      <c r="F67" s="4"/>
      <c r="G67" s="5"/>
      <c r="H67" s="4"/>
      <c r="I67" s="4"/>
      <c r="J67" s="4"/>
      <c r="K67" s="4"/>
      <c r="L67" s="6" t="str">
        <f aca="false">IF(AND(G67&lt;&gt;"",H67&gt;0),ROUND(G67/H67,0),"")</f>
        <v/>
      </c>
      <c r="M67" s="6" t="str">
        <f aca="false">IF(F67&lt;&gt;"",IFERROR(VLOOKUP(F67,TablaRef,2,FALSE()),"?"),"")</f>
        <v/>
      </c>
      <c r="N67" s="7" t="str">
        <f aca="false">IF(AND(L67&lt;&gt;"",M67&lt;&gt;"",ISNUMBER(M67)),IF(L67&lt;M67*(1-MargenPct),"🟢",IF(L67&gt;M67*(1+MargenPct),"🔴","🟡")),"")</f>
        <v/>
      </c>
      <c r="O67" s="8" t="str">
        <f aca="false">IF(G67&lt;&gt;"",W67+X67+Y67+Z67+AB67+AC67+AD67,"")</f>
        <v/>
      </c>
      <c r="P67" s="9" t="str">
        <f aca="false">IF(G67&lt;&gt;"",IF(O67&lt;=Presupuesto,"✓","✗"),"")</f>
        <v/>
      </c>
      <c r="Q67" s="10" t="str">
        <f aca="false">IF(G67&lt;&gt;"",Presupuesto-O67,"")</f>
        <v/>
      </c>
      <c r="R67" s="11"/>
      <c r="S67" s="11"/>
      <c r="T67" s="12"/>
      <c r="U67" s="12"/>
      <c r="V67" s="11"/>
      <c r="W67" s="13" t="str">
        <f aca="false">IF(G67&lt;&gt;"",MAX(G67-Credito,G67*0.1),"")</f>
        <v/>
      </c>
      <c r="X67" s="13" t="str">
        <f aca="false">IF(G67&lt;&gt;"",ROUND(G67*0.02*1.21,0),"")</f>
        <v/>
      </c>
      <c r="Y67" s="13" t="str">
        <f aca="false">IF(G67&lt;&gt;"",IF(G67&lt;=140000,0,ROUND(G67*0.0175,0)),"")</f>
        <v/>
      </c>
      <c r="Z67" s="13" t="str">
        <f aca="false">IF(G67&lt;&gt;"",ROUND(G67*0.004,0),"")</f>
        <v/>
      </c>
      <c r="AA67" s="14"/>
      <c r="AB67" s="13" t="str">
        <f aca="false">IF(G67&lt;&gt;"",IF(AA67="Sí",ROUND(G67*0.04*1.21,0),0),"")</f>
        <v/>
      </c>
      <c r="AC67" s="13" t="str">
        <f aca="false">IF(G67&lt;&gt;"",ROUND(G67*0.01,0),"")</f>
        <v/>
      </c>
      <c r="AD67" s="13" t="str">
        <f aca="false">IF(G67&lt;&gt;"",300,"")</f>
        <v/>
      </c>
      <c r="AE67" s="15"/>
      <c r="AF67" s="15"/>
      <c r="AG67" s="16"/>
      <c r="AH67" s="16"/>
      <c r="AI67" s="17" t="str">
        <f aca="false">IF(AND(AG67&lt;&gt;"",AH67&lt;&gt;""),(AG67+AH67)/2,"")</f>
        <v/>
      </c>
      <c r="AJ67" s="15"/>
      <c r="AK67" s="15"/>
    </row>
    <row r="68" customFormat="false" ht="15" hidden="false" customHeight="false" outlineLevel="0" collapsed="false">
      <c r="A68" s="2" t="str">
        <f aca="false">IF(E68&lt;&gt;"",ROW()-1,"")</f>
        <v/>
      </c>
      <c r="B68" s="3"/>
      <c r="C68" s="3"/>
      <c r="D68" s="3"/>
      <c r="E68" s="4"/>
      <c r="F68" s="4"/>
      <c r="G68" s="5"/>
      <c r="H68" s="4"/>
      <c r="I68" s="4"/>
      <c r="J68" s="4"/>
      <c r="K68" s="4"/>
      <c r="L68" s="6" t="str">
        <f aca="false">IF(AND(G68&lt;&gt;"",H68&gt;0),ROUND(G68/H68,0),"")</f>
        <v/>
      </c>
      <c r="M68" s="6" t="str">
        <f aca="false">IF(F68&lt;&gt;"",IFERROR(VLOOKUP(F68,TablaRef,2,FALSE()),"?"),"")</f>
        <v/>
      </c>
      <c r="N68" s="7" t="str">
        <f aca="false">IF(AND(L68&lt;&gt;"",M68&lt;&gt;"",ISNUMBER(M68)),IF(L68&lt;M68*(1-MargenPct),"🟢",IF(L68&gt;M68*(1+MargenPct),"🔴","🟡")),"")</f>
        <v/>
      </c>
      <c r="O68" s="8" t="str">
        <f aca="false">IF(G68&lt;&gt;"",W68+X68+Y68+Z68+AB68+AC68+AD68,"")</f>
        <v/>
      </c>
      <c r="P68" s="9" t="str">
        <f aca="false">IF(G68&lt;&gt;"",IF(O68&lt;=Presupuesto,"✓","✗"),"")</f>
        <v/>
      </c>
      <c r="Q68" s="10" t="str">
        <f aca="false">IF(G68&lt;&gt;"",Presupuesto-O68,"")</f>
        <v/>
      </c>
      <c r="R68" s="11"/>
      <c r="S68" s="11"/>
      <c r="T68" s="12"/>
      <c r="U68" s="12"/>
      <c r="V68" s="11"/>
      <c r="W68" s="13" t="str">
        <f aca="false">IF(G68&lt;&gt;"",MAX(G68-Credito,G68*0.1),"")</f>
        <v/>
      </c>
      <c r="X68" s="13" t="str">
        <f aca="false">IF(G68&lt;&gt;"",ROUND(G68*0.02*1.21,0),"")</f>
        <v/>
      </c>
      <c r="Y68" s="13" t="str">
        <f aca="false">IF(G68&lt;&gt;"",IF(G68&lt;=140000,0,ROUND(G68*0.0175,0)),"")</f>
        <v/>
      </c>
      <c r="Z68" s="13" t="str">
        <f aca="false">IF(G68&lt;&gt;"",ROUND(G68*0.004,0),"")</f>
        <v/>
      </c>
      <c r="AA68" s="14"/>
      <c r="AB68" s="13" t="str">
        <f aca="false">IF(G68&lt;&gt;"",IF(AA68="Sí",ROUND(G68*0.04*1.21,0),0),"")</f>
        <v/>
      </c>
      <c r="AC68" s="13" t="str">
        <f aca="false">IF(G68&lt;&gt;"",ROUND(G68*0.01,0),"")</f>
        <v/>
      </c>
      <c r="AD68" s="13" t="str">
        <f aca="false">IF(G68&lt;&gt;"",300,"")</f>
        <v/>
      </c>
      <c r="AE68" s="15"/>
      <c r="AF68" s="15"/>
      <c r="AG68" s="16"/>
      <c r="AH68" s="16"/>
      <c r="AI68" s="17" t="str">
        <f aca="false">IF(AND(AG68&lt;&gt;"",AH68&lt;&gt;""),(AG68+AH68)/2,"")</f>
        <v/>
      </c>
      <c r="AJ68" s="15"/>
      <c r="AK68" s="15"/>
    </row>
    <row r="69" customFormat="false" ht="15" hidden="false" customHeight="false" outlineLevel="0" collapsed="false">
      <c r="A69" s="2" t="str">
        <f aca="false">IF(E69&lt;&gt;"",ROW()-1,"")</f>
        <v/>
      </c>
      <c r="B69" s="3"/>
      <c r="C69" s="3"/>
      <c r="D69" s="3"/>
      <c r="E69" s="4"/>
      <c r="F69" s="4"/>
      <c r="G69" s="5"/>
      <c r="H69" s="4"/>
      <c r="I69" s="4"/>
      <c r="J69" s="4"/>
      <c r="K69" s="4"/>
      <c r="L69" s="6" t="str">
        <f aca="false">IF(AND(G69&lt;&gt;"",H69&gt;0),ROUND(G69/H69,0),"")</f>
        <v/>
      </c>
      <c r="M69" s="6" t="str">
        <f aca="false">IF(F69&lt;&gt;"",IFERROR(VLOOKUP(F69,TablaRef,2,FALSE()),"?"),"")</f>
        <v/>
      </c>
      <c r="N69" s="7" t="str">
        <f aca="false">IF(AND(L69&lt;&gt;"",M69&lt;&gt;"",ISNUMBER(M69)),IF(L69&lt;M69*(1-MargenPct),"🟢",IF(L69&gt;M69*(1+MargenPct),"🔴","🟡")),"")</f>
        <v/>
      </c>
      <c r="O69" s="8" t="str">
        <f aca="false">IF(G69&lt;&gt;"",W69+X69+Y69+Z69+AB69+AC69+AD69,"")</f>
        <v/>
      </c>
      <c r="P69" s="9" t="str">
        <f aca="false">IF(G69&lt;&gt;"",IF(O69&lt;=Presupuesto,"✓","✗"),"")</f>
        <v/>
      </c>
      <c r="Q69" s="10" t="str">
        <f aca="false">IF(G69&lt;&gt;"",Presupuesto-O69,"")</f>
        <v/>
      </c>
      <c r="R69" s="11"/>
      <c r="S69" s="11"/>
      <c r="T69" s="12"/>
      <c r="U69" s="12"/>
      <c r="V69" s="11"/>
      <c r="W69" s="13" t="str">
        <f aca="false">IF(G69&lt;&gt;"",MAX(G69-Credito,G69*0.1),"")</f>
        <v/>
      </c>
      <c r="X69" s="13" t="str">
        <f aca="false">IF(G69&lt;&gt;"",ROUND(G69*0.02*1.21,0),"")</f>
        <v/>
      </c>
      <c r="Y69" s="13" t="str">
        <f aca="false">IF(G69&lt;&gt;"",IF(G69&lt;=140000,0,ROUND(G69*0.0175,0)),"")</f>
        <v/>
      </c>
      <c r="Z69" s="13" t="str">
        <f aca="false">IF(G69&lt;&gt;"",ROUND(G69*0.004,0),"")</f>
        <v/>
      </c>
      <c r="AA69" s="14"/>
      <c r="AB69" s="13" t="str">
        <f aca="false">IF(G69&lt;&gt;"",IF(AA69="Sí",ROUND(G69*0.04*1.21,0),0),"")</f>
        <v/>
      </c>
      <c r="AC69" s="13" t="str">
        <f aca="false">IF(G69&lt;&gt;"",ROUND(G69*0.01,0),"")</f>
        <v/>
      </c>
      <c r="AD69" s="13" t="str">
        <f aca="false">IF(G69&lt;&gt;"",300,"")</f>
        <v/>
      </c>
      <c r="AE69" s="15"/>
      <c r="AF69" s="15"/>
      <c r="AG69" s="16"/>
      <c r="AH69" s="16"/>
      <c r="AI69" s="17" t="str">
        <f aca="false">IF(AND(AG69&lt;&gt;"",AH69&lt;&gt;""),(AG69+AH69)/2,"")</f>
        <v/>
      </c>
      <c r="AJ69" s="15"/>
      <c r="AK69" s="15"/>
    </row>
    <row r="70" customFormat="false" ht="15" hidden="false" customHeight="false" outlineLevel="0" collapsed="false">
      <c r="A70" s="2" t="str">
        <f aca="false">IF(E70&lt;&gt;"",ROW()-1,"")</f>
        <v/>
      </c>
      <c r="B70" s="3"/>
      <c r="C70" s="3"/>
      <c r="D70" s="3"/>
      <c r="E70" s="4"/>
      <c r="F70" s="4"/>
      <c r="G70" s="5"/>
      <c r="H70" s="4"/>
      <c r="I70" s="4"/>
      <c r="J70" s="4"/>
      <c r="K70" s="4"/>
      <c r="L70" s="6" t="str">
        <f aca="false">IF(AND(G70&lt;&gt;"",H70&gt;0),ROUND(G70/H70,0),"")</f>
        <v/>
      </c>
      <c r="M70" s="6" t="str">
        <f aca="false">IF(F70&lt;&gt;"",IFERROR(VLOOKUP(F70,TablaRef,2,FALSE()),"?"),"")</f>
        <v/>
      </c>
      <c r="N70" s="7" t="str">
        <f aca="false">IF(AND(L70&lt;&gt;"",M70&lt;&gt;"",ISNUMBER(M70)),IF(L70&lt;M70*(1-MargenPct),"🟢",IF(L70&gt;M70*(1+MargenPct),"🔴","🟡")),"")</f>
        <v/>
      </c>
      <c r="O70" s="8" t="str">
        <f aca="false">IF(G70&lt;&gt;"",W70+X70+Y70+Z70+AB70+AC70+AD70,"")</f>
        <v/>
      </c>
      <c r="P70" s="9" t="str">
        <f aca="false">IF(G70&lt;&gt;"",IF(O70&lt;=Presupuesto,"✓","✗"),"")</f>
        <v/>
      </c>
      <c r="Q70" s="10" t="str">
        <f aca="false">IF(G70&lt;&gt;"",Presupuesto-O70,"")</f>
        <v/>
      </c>
      <c r="R70" s="11"/>
      <c r="S70" s="11"/>
      <c r="T70" s="12"/>
      <c r="U70" s="12"/>
      <c r="V70" s="11"/>
      <c r="W70" s="13" t="str">
        <f aca="false">IF(G70&lt;&gt;"",MAX(G70-Credito,G70*0.1),"")</f>
        <v/>
      </c>
      <c r="X70" s="13" t="str">
        <f aca="false">IF(G70&lt;&gt;"",ROUND(G70*0.02*1.21,0),"")</f>
        <v/>
      </c>
      <c r="Y70" s="13" t="str">
        <f aca="false">IF(G70&lt;&gt;"",IF(G70&lt;=140000,0,ROUND(G70*0.0175,0)),"")</f>
        <v/>
      </c>
      <c r="Z70" s="13" t="str">
        <f aca="false">IF(G70&lt;&gt;"",ROUND(G70*0.004,0),"")</f>
        <v/>
      </c>
      <c r="AA70" s="14"/>
      <c r="AB70" s="13" t="str">
        <f aca="false">IF(G70&lt;&gt;"",IF(AA70="Sí",ROUND(G70*0.04*1.21,0),0),"")</f>
        <v/>
      </c>
      <c r="AC70" s="13" t="str">
        <f aca="false">IF(G70&lt;&gt;"",ROUND(G70*0.01,0),"")</f>
        <v/>
      </c>
      <c r="AD70" s="13" t="str">
        <f aca="false">IF(G70&lt;&gt;"",300,"")</f>
        <v/>
      </c>
      <c r="AE70" s="15"/>
      <c r="AF70" s="15"/>
      <c r="AG70" s="16"/>
      <c r="AH70" s="16"/>
      <c r="AI70" s="17" t="str">
        <f aca="false">IF(AND(AG70&lt;&gt;"",AH70&lt;&gt;""),(AG70+AH70)/2,"")</f>
        <v/>
      </c>
      <c r="AJ70" s="15"/>
      <c r="AK70" s="15"/>
    </row>
    <row r="71" customFormat="false" ht="15" hidden="false" customHeight="false" outlineLevel="0" collapsed="false">
      <c r="A71" s="2" t="str">
        <f aca="false">IF(E71&lt;&gt;"",ROW()-1,"")</f>
        <v/>
      </c>
      <c r="B71" s="3"/>
      <c r="C71" s="3"/>
      <c r="D71" s="3"/>
      <c r="E71" s="4"/>
      <c r="F71" s="4"/>
      <c r="G71" s="5"/>
      <c r="H71" s="4"/>
      <c r="I71" s="4"/>
      <c r="J71" s="4"/>
      <c r="K71" s="4"/>
      <c r="L71" s="6" t="str">
        <f aca="false">IF(AND(G71&lt;&gt;"",H71&gt;0),ROUND(G71/H71,0),"")</f>
        <v/>
      </c>
      <c r="M71" s="6" t="str">
        <f aca="false">IF(F71&lt;&gt;"",IFERROR(VLOOKUP(F71,TablaRef,2,FALSE()),"?"),"")</f>
        <v/>
      </c>
      <c r="N71" s="7" t="str">
        <f aca="false">IF(AND(L71&lt;&gt;"",M71&lt;&gt;"",ISNUMBER(M71)),IF(L71&lt;M71*(1-MargenPct),"🟢",IF(L71&gt;M71*(1+MargenPct),"🔴","🟡")),"")</f>
        <v/>
      </c>
      <c r="O71" s="8" t="str">
        <f aca="false">IF(G71&lt;&gt;"",W71+X71+Y71+Z71+AB71+AC71+AD71,"")</f>
        <v/>
      </c>
      <c r="P71" s="9" t="str">
        <f aca="false">IF(G71&lt;&gt;"",IF(O71&lt;=Presupuesto,"✓","✗"),"")</f>
        <v/>
      </c>
      <c r="Q71" s="10" t="str">
        <f aca="false">IF(G71&lt;&gt;"",Presupuesto-O71,"")</f>
        <v/>
      </c>
      <c r="R71" s="11"/>
      <c r="S71" s="11"/>
      <c r="T71" s="12"/>
      <c r="U71" s="12"/>
      <c r="V71" s="11"/>
      <c r="W71" s="13" t="str">
        <f aca="false">IF(G71&lt;&gt;"",MAX(G71-Credito,G71*0.1),"")</f>
        <v/>
      </c>
      <c r="X71" s="13" t="str">
        <f aca="false">IF(G71&lt;&gt;"",ROUND(G71*0.02*1.21,0),"")</f>
        <v/>
      </c>
      <c r="Y71" s="13" t="str">
        <f aca="false">IF(G71&lt;&gt;"",IF(G71&lt;=140000,0,ROUND(G71*0.0175,0)),"")</f>
        <v/>
      </c>
      <c r="Z71" s="13" t="str">
        <f aca="false">IF(G71&lt;&gt;"",ROUND(G71*0.004,0),"")</f>
        <v/>
      </c>
      <c r="AA71" s="14"/>
      <c r="AB71" s="13" t="str">
        <f aca="false">IF(G71&lt;&gt;"",IF(AA71="Sí",ROUND(G71*0.04*1.21,0),0),"")</f>
        <v/>
      </c>
      <c r="AC71" s="13" t="str">
        <f aca="false">IF(G71&lt;&gt;"",ROUND(G71*0.01,0),"")</f>
        <v/>
      </c>
      <c r="AD71" s="13" t="str">
        <f aca="false">IF(G71&lt;&gt;"",300,"")</f>
        <v/>
      </c>
      <c r="AE71" s="15"/>
      <c r="AF71" s="15"/>
      <c r="AG71" s="16"/>
      <c r="AH71" s="16"/>
      <c r="AI71" s="17" t="str">
        <f aca="false">IF(AND(AG71&lt;&gt;"",AH71&lt;&gt;""),(AG71+AH71)/2,"")</f>
        <v/>
      </c>
      <c r="AJ71" s="15"/>
      <c r="AK71" s="15"/>
    </row>
    <row r="72" customFormat="false" ht="15" hidden="false" customHeight="false" outlineLevel="0" collapsed="false">
      <c r="A72" s="2" t="str">
        <f aca="false">IF(E72&lt;&gt;"",ROW()-1,"")</f>
        <v/>
      </c>
      <c r="B72" s="3"/>
      <c r="C72" s="3"/>
      <c r="D72" s="3"/>
      <c r="E72" s="4"/>
      <c r="F72" s="4"/>
      <c r="G72" s="5"/>
      <c r="H72" s="4"/>
      <c r="I72" s="4"/>
      <c r="J72" s="4"/>
      <c r="K72" s="4"/>
      <c r="L72" s="6" t="str">
        <f aca="false">IF(AND(G72&lt;&gt;"",H72&gt;0),ROUND(G72/H72,0),"")</f>
        <v/>
      </c>
      <c r="M72" s="6" t="str">
        <f aca="false">IF(F72&lt;&gt;"",IFERROR(VLOOKUP(F72,TablaRef,2,FALSE()),"?"),"")</f>
        <v/>
      </c>
      <c r="N72" s="7" t="str">
        <f aca="false">IF(AND(L72&lt;&gt;"",M72&lt;&gt;"",ISNUMBER(M72)),IF(L72&lt;M72*(1-MargenPct),"🟢",IF(L72&gt;M72*(1+MargenPct),"🔴","🟡")),"")</f>
        <v/>
      </c>
      <c r="O72" s="8" t="str">
        <f aca="false">IF(G72&lt;&gt;"",W72+X72+Y72+Z72+AB72+AC72+AD72,"")</f>
        <v/>
      </c>
      <c r="P72" s="9" t="str">
        <f aca="false">IF(G72&lt;&gt;"",IF(O72&lt;=Presupuesto,"✓","✗"),"")</f>
        <v/>
      </c>
      <c r="Q72" s="10" t="str">
        <f aca="false">IF(G72&lt;&gt;"",Presupuesto-O72,"")</f>
        <v/>
      </c>
      <c r="R72" s="11"/>
      <c r="S72" s="11"/>
      <c r="T72" s="12"/>
      <c r="U72" s="12"/>
      <c r="V72" s="11"/>
      <c r="W72" s="13" t="str">
        <f aca="false">IF(G72&lt;&gt;"",MAX(G72-Credito,G72*0.1),"")</f>
        <v/>
      </c>
      <c r="X72" s="13" t="str">
        <f aca="false">IF(G72&lt;&gt;"",ROUND(G72*0.02*1.21,0),"")</f>
        <v/>
      </c>
      <c r="Y72" s="13" t="str">
        <f aca="false">IF(G72&lt;&gt;"",IF(G72&lt;=140000,0,ROUND(G72*0.0175,0)),"")</f>
        <v/>
      </c>
      <c r="Z72" s="13" t="str">
        <f aca="false">IF(G72&lt;&gt;"",ROUND(G72*0.004,0),"")</f>
        <v/>
      </c>
      <c r="AA72" s="14"/>
      <c r="AB72" s="13" t="str">
        <f aca="false">IF(G72&lt;&gt;"",IF(AA72="Sí",ROUND(G72*0.04*1.21,0),0),"")</f>
        <v/>
      </c>
      <c r="AC72" s="13" t="str">
        <f aca="false">IF(G72&lt;&gt;"",ROUND(G72*0.01,0),"")</f>
        <v/>
      </c>
      <c r="AD72" s="13" t="str">
        <f aca="false">IF(G72&lt;&gt;"",300,"")</f>
        <v/>
      </c>
      <c r="AE72" s="15"/>
      <c r="AF72" s="15"/>
      <c r="AG72" s="16"/>
      <c r="AH72" s="16"/>
      <c r="AI72" s="17" t="str">
        <f aca="false">IF(AND(AG72&lt;&gt;"",AH72&lt;&gt;""),(AG72+AH72)/2,"")</f>
        <v/>
      </c>
      <c r="AJ72" s="15"/>
      <c r="AK72" s="15"/>
    </row>
    <row r="73" customFormat="false" ht="15" hidden="false" customHeight="false" outlineLevel="0" collapsed="false">
      <c r="A73" s="2" t="str">
        <f aca="false">IF(E73&lt;&gt;"",ROW()-1,"")</f>
        <v/>
      </c>
      <c r="B73" s="3"/>
      <c r="C73" s="3"/>
      <c r="D73" s="3"/>
      <c r="E73" s="4"/>
      <c r="F73" s="4"/>
      <c r="G73" s="5"/>
      <c r="H73" s="4"/>
      <c r="I73" s="4"/>
      <c r="J73" s="4"/>
      <c r="K73" s="4"/>
      <c r="L73" s="6" t="str">
        <f aca="false">IF(AND(G73&lt;&gt;"",H73&gt;0),ROUND(G73/H73,0),"")</f>
        <v/>
      </c>
      <c r="M73" s="6" t="str">
        <f aca="false">IF(F73&lt;&gt;"",IFERROR(VLOOKUP(F73,TablaRef,2,FALSE()),"?"),"")</f>
        <v/>
      </c>
      <c r="N73" s="7" t="str">
        <f aca="false">IF(AND(L73&lt;&gt;"",M73&lt;&gt;"",ISNUMBER(M73)),IF(L73&lt;M73*(1-MargenPct),"🟢",IF(L73&gt;M73*(1+MargenPct),"🔴","🟡")),"")</f>
        <v/>
      </c>
      <c r="O73" s="8" t="str">
        <f aca="false">IF(G73&lt;&gt;"",W73+X73+Y73+Z73+AB73+AC73+AD73,"")</f>
        <v/>
      </c>
      <c r="P73" s="9" t="str">
        <f aca="false">IF(G73&lt;&gt;"",IF(O73&lt;=Presupuesto,"✓","✗"),"")</f>
        <v/>
      </c>
      <c r="Q73" s="10" t="str">
        <f aca="false">IF(G73&lt;&gt;"",Presupuesto-O73,"")</f>
        <v/>
      </c>
      <c r="R73" s="11"/>
      <c r="S73" s="11"/>
      <c r="T73" s="12"/>
      <c r="U73" s="12"/>
      <c r="V73" s="11"/>
      <c r="W73" s="13" t="str">
        <f aca="false">IF(G73&lt;&gt;"",MAX(G73-Credito,G73*0.1),"")</f>
        <v/>
      </c>
      <c r="X73" s="13" t="str">
        <f aca="false">IF(G73&lt;&gt;"",ROUND(G73*0.02*1.21,0),"")</f>
        <v/>
      </c>
      <c r="Y73" s="13" t="str">
        <f aca="false">IF(G73&lt;&gt;"",IF(G73&lt;=140000,0,ROUND(G73*0.0175,0)),"")</f>
        <v/>
      </c>
      <c r="Z73" s="13" t="str">
        <f aca="false">IF(G73&lt;&gt;"",ROUND(G73*0.004,0),"")</f>
        <v/>
      </c>
      <c r="AA73" s="14"/>
      <c r="AB73" s="13" t="str">
        <f aca="false">IF(G73&lt;&gt;"",IF(AA73="Sí",ROUND(G73*0.04*1.21,0),0),"")</f>
        <v/>
      </c>
      <c r="AC73" s="13" t="str">
        <f aca="false">IF(G73&lt;&gt;"",ROUND(G73*0.01,0),"")</f>
        <v/>
      </c>
      <c r="AD73" s="13" t="str">
        <f aca="false">IF(G73&lt;&gt;"",300,"")</f>
        <v/>
      </c>
      <c r="AE73" s="15"/>
      <c r="AF73" s="15"/>
      <c r="AG73" s="16"/>
      <c r="AH73" s="16"/>
      <c r="AI73" s="17" t="str">
        <f aca="false">IF(AND(AG73&lt;&gt;"",AH73&lt;&gt;""),(AG73+AH73)/2,"")</f>
        <v/>
      </c>
      <c r="AJ73" s="15"/>
      <c r="AK73" s="15"/>
    </row>
    <row r="74" customFormat="false" ht="15" hidden="false" customHeight="false" outlineLevel="0" collapsed="false">
      <c r="A74" s="2" t="str">
        <f aca="false">IF(E74&lt;&gt;"",ROW()-1,"")</f>
        <v/>
      </c>
      <c r="B74" s="3"/>
      <c r="C74" s="3"/>
      <c r="D74" s="3"/>
      <c r="E74" s="4"/>
      <c r="F74" s="4"/>
      <c r="G74" s="5"/>
      <c r="H74" s="4"/>
      <c r="I74" s="4"/>
      <c r="J74" s="4"/>
      <c r="K74" s="4"/>
      <c r="L74" s="6" t="str">
        <f aca="false">IF(AND(G74&lt;&gt;"",H74&gt;0),ROUND(G74/H74,0),"")</f>
        <v/>
      </c>
      <c r="M74" s="6" t="str">
        <f aca="false">IF(F74&lt;&gt;"",IFERROR(VLOOKUP(F74,TablaRef,2,FALSE()),"?"),"")</f>
        <v/>
      </c>
      <c r="N74" s="7" t="str">
        <f aca="false">IF(AND(L74&lt;&gt;"",M74&lt;&gt;"",ISNUMBER(M74)),IF(L74&lt;M74*(1-MargenPct),"🟢",IF(L74&gt;M74*(1+MargenPct),"🔴","🟡")),"")</f>
        <v/>
      </c>
      <c r="O74" s="8" t="str">
        <f aca="false">IF(G74&lt;&gt;"",W74+X74+Y74+Z74+AB74+AC74+AD74,"")</f>
        <v/>
      </c>
      <c r="P74" s="9" t="str">
        <f aca="false">IF(G74&lt;&gt;"",IF(O74&lt;=Presupuesto,"✓","✗"),"")</f>
        <v/>
      </c>
      <c r="Q74" s="10" t="str">
        <f aca="false">IF(G74&lt;&gt;"",Presupuesto-O74,"")</f>
        <v/>
      </c>
      <c r="R74" s="11"/>
      <c r="S74" s="11"/>
      <c r="T74" s="12"/>
      <c r="U74" s="12"/>
      <c r="V74" s="11"/>
      <c r="W74" s="13" t="str">
        <f aca="false">IF(G74&lt;&gt;"",MAX(G74-Credito,G74*0.1),"")</f>
        <v/>
      </c>
      <c r="X74" s="13" t="str">
        <f aca="false">IF(G74&lt;&gt;"",ROUND(G74*0.02*1.21,0),"")</f>
        <v/>
      </c>
      <c r="Y74" s="13" t="str">
        <f aca="false">IF(G74&lt;&gt;"",IF(G74&lt;=140000,0,ROUND(G74*0.0175,0)),"")</f>
        <v/>
      </c>
      <c r="Z74" s="13" t="str">
        <f aca="false">IF(G74&lt;&gt;"",ROUND(G74*0.004,0),"")</f>
        <v/>
      </c>
      <c r="AA74" s="14"/>
      <c r="AB74" s="13" t="str">
        <f aca="false">IF(G74&lt;&gt;"",IF(AA74="Sí",ROUND(G74*0.04*1.21,0),0),"")</f>
        <v/>
      </c>
      <c r="AC74" s="13" t="str">
        <f aca="false">IF(G74&lt;&gt;"",ROUND(G74*0.01,0),"")</f>
        <v/>
      </c>
      <c r="AD74" s="13" t="str">
        <f aca="false">IF(G74&lt;&gt;"",300,"")</f>
        <v/>
      </c>
      <c r="AE74" s="15"/>
      <c r="AF74" s="15"/>
      <c r="AG74" s="16"/>
      <c r="AH74" s="16"/>
      <c r="AI74" s="17" t="str">
        <f aca="false">IF(AND(AG74&lt;&gt;"",AH74&lt;&gt;""),(AG74+AH74)/2,"")</f>
        <v/>
      </c>
      <c r="AJ74" s="15"/>
      <c r="AK74" s="15"/>
    </row>
    <row r="75" customFormat="false" ht="15" hidden="false" customHeight="false" outlineLevel="0" collapsed="false">
      <c r="A75" s="2" t="str">
        <f aca="false">IF(E75&lt;&gt;"",ROW()-1,"")</f>
        <v/>
      </c>
      <c r="B75" s="3"/>
      <c r="C75" s="3"/>
      <c r="D75" s="3"/>
      <c r="E75" s="4"/>
      <c r="F75" s="4"/>
      <c r="G75" s="5"/>
      <c r="H75" s="4"/>
      <c r="I75" s="4"/>
      <c r="J75" s="4"/>
      <c r="K75" s="4"/>
      <c r="L75" s="6" t="str">
        <f aca="false">IF(AND(G75&lt;&gt;"",H75&gt;0),ROUND(G75/H75,0),"")</f>
        <v/>
      </c>
      <c r="M75" s="6" t="str">
        <f aca="false">IF(F75&lt;&gt;"",IFERROR(VLOOKUP(F75,TablaRef,2,FALSE()),"?"),"")</f>
        <v/>
      </c>
      <c r="N75" s="7" t="str">
        <f aca="false">IF(AND(L75&lt;&gt;"",M75&lt;&gt;"",ISNUMBER(M75)),IF(L75&lt;M75*(1-MargenPct),"🟢",IF(L75&gt;M75*(1+MargenPct),"🔴","🟡")),"")</f>
        <v/>
      </c>
      <c r="O75" s="8" t="str">
        <f aca="false">IF(G75&lt;&gt;"",W75+X75+Y75+Z75+AB75+AC75+AD75,"")</f>
        <v/>
      </c>
      <c r="P75" s="9" t="str">
        <f aca="false">IF(G75&lt;&gt;"",IF(O75&lt;=Presupuesto,"✓","✗"),"")</f>
        <v/>
      </c>
      <c r="Q75" s="10" t="str">
        <f aca="false">IF(G75&lt;&gt;"",Presupuesto-O75,"")</f>
        <v/>
      </c>
      <c r="R75" s="11"/>
      <c r="S75" s="11"/>
      <c r="T75" s="12"/>
      <c r="U75" s="12"/>
      <c r="V75" s="11"/>
      <c r="W75" s="13" t="str">
        <f aca="false">IF(G75&lt;&gt;"",MAX(G75-Credito,G75*0.1),"")</f>
        <v/>
      </c>
      <c r="X75" s="13" t="str">
        <f aca="false">IF(G75&lt;&gt;"",ROUND(G75*0.02*1.21,0),"")</f>
        <v/>
      </c>
      <c r="Y75" s="13" t="str">
        <f aca="false">IF(G75&lt;&gt;"",IF(G75&lt;=140000,0,ROUND(G75*0.0175,0)),"")</f>
        <v/>
      </c>
      <c r="Z75" s="13" t="str">
        <f aca="false">IF(G75&lt;&gt;"",ROUND(G75*0.004,0),"")</f>
        <v/>
      </c>
      <c r="AA75" s="14"/>
      <c r="AB75" s="13" t="str">
        <f aca="false">IF(G75&lt;&gt;"",IF(AA75="Sí",ROUND(G75*0.04*1.21,0),0),"")</f>
        <v/>
      </c>
      <c r="AC75" s="13" t="str">
        <f aca="false">IF(G75&lt;&gt;"",ROUND(G75*0.01,0),"")</f>
        <v/>
      </c>
      <c r="AD75" s="13" t="str">
        <f aca="false">IF(G75&lt;&gt;"",300,"")</f>
        <v/>
      </c>
      <c r="AE75" s="15"/>
      <c r="AF75" s="15"/>
      <c r="AG75" s="16"/>
      <c r="AH75" s="16"/>
      <c r="AI75" s="17" t="str">
        <f aca="false">IF(AND(AG75&lt;&gt;"",AH75&lt;&gt;""),(AG75+AH75)/2,"")</f>
        <v/>
      </c>
      <c r="AJ75" s="15"/>
      <c r="AK75" s="15"/>
    </row>
    <row r="76" customFormat="false" ht="15" hidden="false" customHeight="false" outlineLevel="0" collapsed="false">
      <c r="A76" s="2" t="str">
        <f aca="false">IF(E76&lt;&gt;"",ROW()-1,"")</f>
        <v/>
      </c>
      <c r="B76" s="3"/>
      <c r="C76" s="3"/>
      <c r="D76" s="3"/>
      <c r="E76" s="4"/>
      <c r="F76" s="4"/>
      <c r="G76" s="5"/>
      <c r="H76" s="4"/>
      <c r="I76" s="4"/>
      <c r="J76" s="4"/>
      <c r="K76" s="4"/>
      <c r="L76" s="6" t="str">
        <f aca="false">IF(AND(G76&lt;&gt;"",H76&gt;0),ROUND(G76/H76,0),"")</f>
        <v/>
      </c>
      <c r="M76" s="6" t="str">
        <f aca="false">IF(F76&lt;&gt;"",IFERROR(VLOOKUP(F76,TablaRef,2,FALSE()),"?"),"")</f>
        <v/>
      </c>
      <c r="N76" s="7" t="str">
        <f aca="false">IF(AND(L76&lt;&gt;"",M76&lt;&gt;"",ISNUMBER(M76)),IF(L76&lt;M76*(1-MargenPct),"🟢",IF(L76&gt;M76*(1+MargenPct),"🔴","🟡")),"")</f>
        <v/>
      </c>
      <c r="O76" s="8" t="str">
        <f aca="false">IF(G76&lt;&gt;"",W76+X76+Y76+Z76+AB76+AC76+AD76,"")</f>
        <v/>
      </c>
      <c r="P76" s="9" t="str">
        <f aca="false">IF(G76&lt;&gt;"",IF(O76&lt;=Presupuesto,"✓","✗"),"")</f>
        <v/>
      </c>
      <c r="Q76" s="10" t="str">
        <f aca="false">IF(G76&lt;&gt;"",Presupuesto-O76,"")</f>
        <v/>
      </c>
      <c r="R76" s="11"/>
      <c r="S76" s="11"/>
      <c r="T76" s="12"/>
      <c r="U76" s="12"/>
      <c r="V76" s="11"/>
      <c r="W76" s="13" t="str">
        <f aca="false">IF(G76&lt;&gt;"",MAX(G76-Credito,G76*0.1),"")</f>
        <v/>
      </c>
      <c r="X76" s="13" t="str">
        <f aca="false">IF(G76&lt;&gt;"",ROUND(G76*0.02*1.21,0),"")</f>
        <v/>
      </c>
      <c r="Y76" s="13" t="str">
        <f aca="false">IF(G76&lt;&gt;"",IF(G76&lt;=140000,0,ROUND(G76*0.0175,0)),"")</f>
        <v/>
      </c>
      <c r="Z76" s="13" t="str">
        <f aca="false">IF(G76&lt;&gt;"",ROUND(G76*0.004,0),"")</f>
        <v/>
      </c>
      <c r="AA76" s="14"/>
      <c r="AB76" s="13" t="str">
        <f aca="false">IF(G76&lt;&gt;"",IF(AA76="Sí",ROUND(G76*0.04*1.21,0),0),"")</f>
        <v/>
      </c>
      <c r="AC76" s="13" t="str">
        <f aca="false">IF(G76&lt;&gt;"",ROUND(G76*0.01,0),"")</f>
        <v/>
      </c>
      <c r="AD76" s="13" t="str">
        <f aca="false">IF(G76&lt;&gt;"",300,"")</f>
        <v/>
      </c>
      <c r="AE76" s="15"/>
      <c r="AF76" s="15"/>
      <c r="AG76" s="16"/>
      <c r="AH76" s="16"/>
      <c r="AI76" s="17" t="str">
        <f aca="false">IF(AND(AG76&lt;&gt;"",AH76&lt;&gt;""),(AG76+AH76)/2,"")</f>
        <v/>
      </c>
      <c r="AJ76" s="15"/>
      <c r="AK76" s="15"/>
    </row>
    <row r="77" customFormat="false" ht="15" hidden="false" customHeight="false" outlineLevel="0" collapsed="false">
      <c r="A77" s="2" t="str">
        <f aca="false">IF(E77&lt;&gt;"",ROW()-1,"")</f>
        <v/>
      </c>
      <c r="B77" s="3"/>
      <c r="C77" s="3"/>
      <c r="D77" s="3"/>
      <c r="E77" s="4"/>
      <c r="F77" s="4"/>
      <c r="G77" s="5"/>
      <c r="H77" s="4"/>
      <c r="I77" s="4"/>
      <c r="J77" s="4"/>
      <c r="K77" s="4"/>
      <c r="L77" s="6" t="str">
        <f aca="false">IF(AND(G77&lt;&gt;"",H77&gt;0),ROUND(G77/H77,0),"")</f>
        <v/>
      </c>
      <c r="M77" s="6" t="str">
        <f aca="false">IF(F77&lt;&gt;"",IFERROR(VLOOKUP(F77,TablaRef,2,FALSE()),"?"),"")</f>
        <v/>
      </c>
      <c r="N77" s="7" t="str">
        <f aca="false">IF(AND(L77&lt;&gt;"",M77&lt;&gt;"",ISNUMBER(M77)),IF(L77&lt;M77*(1-MargenPct),"🟢",IF(L77&gt;M77*(1+MargenPct),"🔴","🟡")),"")</f>
        <v/>
      </c>
      <c r="O77" s="8" t="str">
        <f aca="false">IF(G77&lt;&gt;"",W77+X77+Y77+Z77+AB77+AC77+AD77,"")</f>
        <v/>
      </c>
      <c r="P77" s="9" t="str">
        <f aca="false">IF(G77&lt;&gt;"",IF(O77&lt;=Presupuesto,"✓","✗"),"")</f>
        <v/>
      </c>
      <c r="Q77" s="10" t="str">
        <f aca="false">IF(G77&lt;&gt;"",Presupuesto-O77,"")</f>
        <v/>
      </c>
      <c r="R77" s="11"/>
      <c r="S77" s="11"/>
      <c r="T77" s="12"/>
      <c r="U77" s="12"/>
      <c r="V77" s="11"/>
      <c r="W77" s="13" t="str">
        <f aca="false">IF(G77&lt;&gt;"",MAX(G77-Credito,G77*0.1),"")</f>
        <v/>
      </c>
      <c r="X77" s="13" t="str">
        <f aca="false">IF(G77&lt;&gt;"",ROUND(G77*0.02*1.21,0),"")</f>
        <v/>
      </c>
      <c r="Y77" s="13" t="str">
        <f aca="false">IF(G77&lt;&gt;"",IF(G77&lt;=140000,0,ROUND(G77*0.0175,0)),"")</f>
        <v/>
      </c>
      <c r="Z77" s="13" t="str">
        <f aca="false">IF(G77&lt;&gt;"",ROUND(G77*0.004,0),"")</f>
        <v/>
      </c>
      <c r="AA77" s="14"/>
      <c r="AB77" s="13" t="str">
        <f aca="false">IF(G77&lt;&gt;"",IF(AA77="Sí",ROUND(G77*0.04*1.21,0),0),"")</f>
        <v/>
      </c>
      <c r="AC77" s="13" t="str">
        <f aca="false">IF(G77&lt;&gt;"",ROUND(G77*0.01,0),"")</f>
        <v/>
      </c>
      <c r="AD77" s="13" t="str">
        <f aca="false">IF(G77&lt;&gt;"",300,"")</f>
        <v/>
      </c>
      <c r="AE77" s="15"/>
      <c r="AF77" s="15"/>
      <c r="AG77" s="16"/>
      <c r="AH77" s="16"/>
      <c r="AI77" s="17" t="str">
        <f aca="false">IF(AND(AG77&lt;&gt;"",AH77&lt;&gt;""),(AG77+AH77)/2,"")</f>
        <v/>
      </c>
      <c r="AJ77" s="15"/>
      <c r="AK77" s="15"/>
    </row>
    <row r="78" customFormat="false" ht="15" hidden="false" customHeight="false" outlineLevel="0" collapsed="false">
      <c r="A78" s="2" t="str">
        <f aca="false">IF(E78&lt;&gt;"",ROW()-1,"")</f>
        <v/>
      </c>
      <c r="B78" s="3"/>
      <c r="C78" s="3"/>
      <c r="D78" s="3"/>
      <c r="E78" s="4"/>
      <c r="F78" s="4"/>
      <c r="G78" s="5"/>
      <c r="H78" s="4"/>
      <c r="I78" s="4"/>
      <c r="J78" s="4"/>
      <c r="K78" s="4"/>
      <c r="L78" s="6" t="str">
        <f aca="false">IF(AND(G78&lt;&gt;"",H78&gt;0),ROUND(G78/H78,0),"")</f>
        <v/>
      </c>
      <c r="M78" s="6" t="str">
        <f aca="false">IF(F78&lt;&gt;"",IFERROR(VLOOKUP(F78,TablaRef,2,FALSE()),"?"),"")</f>
        <v/>
      </c>
      <c r="N78" s="7" t="str">
        <f aca="false">IF(AND(L78&lt;&gt;"",M78&lt;&gt;"",ISNUMBER(M78)),IF(L78&lt;M78*(1-MargenPct),"🟢",IF(L78&gt;M78*(1+MargenPct),"🔴","🟡")),"")</f>
        <v/>
      </c>
      <c r="O78" s="8" t="str">
        <f aca="false">IF(G78&lt;&gt;"",W78+X78+Y78+Z78+AB78+AC78+AD78,"")</f>
        <v/>
      </c>
      <c r="P78" s="9" t="str">
        <f aca="false">IF(G78&lt;&gt;"",IF(O78&lt;=Presupuesto,"✓","✗"),"")</f>
        <v/>
      </c>
      <c r="Q78" s="10" t="str">
        <f aca="false">IF(G78&lt;&gt;"",Presupuesto-O78,"")</f>
        <v/>
      </c>
      <c r="R78" s="11"/>
      <c r="S78" s="11"/>
      <c r="T78" s="12"/>
      <c r="U78" s="12"/>
      <c r="V78" s="11"/>
      <c r="W78" s="13" t="str">
        <f aca="false">IF(G78&lt;&gt;"",MAX(G78-Credito,G78*0.1),"")</f>
        <v/>
      </c>
      <c r="X78" s="13" t="str">
        <f aca="false">IF(G78&lt;&gt;"",ROUND(G78*0.02*1.21,0),"")</f>
        <v/>
      </c>
      <c r="Y78" s="13" t="str">
        <f aca="false">IF(G78&lt;&gt;"",IF(G78&lt;=140000,0,ROUND(G78*0.0175,0)),"")</f>
        <v/>
      </c>
      <c r="Z78" s="13" t="str">
        <f aca="false">IF(G78&lt;&gt;"",ROUND(G78*0.004,0),"")</f>
        <v/>
      </c>
      <c r="AA78" s="14"/>
      <c r="AB78" s="13" t="str">
        <f aca="false">IF(G78&lt;&gt;"",IF(AA78="Sí",ROUND(G78*0.04*1.21,0),0),"")</f>
        <v/>
      </c>
      <c r="AC78" s="13" t="str">
        <f aca="false">IF(G78&lt;&gt;"",ROUND(G78*0.01,0),"")</f>
        <v/>
      </c>
      <c r="AD78" s="13" t="str">
        <f aca="false">IF(G78&lt;&gt;"",300,"")</f>
        <v/>
      </c>
      <c r="AE78" s="15"/>
      <c r="AF78" s="15"/>
      <c r="AG78" s="16"/>
      <c r="AH78" s="16"/>
      <c r="AI78" s="17" t="str">
        <f aca="false">IF(AND(AG78&lt;&gt;"",AH78&lt;&gt;""),(AG78+AH78)/2,"")</f>
        <v/>
      </c>
      <c r="AJ78" s="15"/>
      <c r="AK78" s="15"/>
    </row>
    <row r="79" customFormat="false" ht="15" hidden="false" customHeight="false" outlineLevel="0" collapsed="false">
      <c r="A79" s="2" t="str">
        <f aca="false">IF(E79&lt;&gt;"",ROW()-1,"")</f>
        <v/>
      </c>
      <c r="B79" s="3"/>
      <c r="C79" s="3"/>
      <c r="D79" s="3"/>
      <c r="E79" s="4"/>
      <c r="F79" s="4"/>
      <c r="G79" s="5"/>
      <c r="H79" s="4"/>
      <c r="I79" s="4"/>
      <c r="J79" s="4"/>
      <c r="K79" s="4"/>
      <c r="L79" s="6" t="str">
        <f aca="false">IF(AND(G79&lt;&gt;"",H79&gt;0),ROUND(G79/H79,0),"")</f>
        <v/>
      </c>
      <c r="M79" s="6" t="str">
        <f aca="false">IF(F79&lt;&gt;"",IFERROR(VLOOKUP(F79,TablaRef,2,FALSE()),"?"),"")</f>
        <v/>
      </c>
      <c r="N79" s="7" t="str">
        <f aca="false">IF(AND(L79&lt;&gt;"",M79&lt;&gt;"",ISNUMBER(M79)),IF(L79&lt;M79*(1-MargenPct),"🟢",IF(L79&gt;M79*(1+MargenPct),"🔴","🟡")),"")</f>
        <v/>
      </c>
      <c r="O79" s="8" t="str">
        <f aca="false">IF(G79&lt;&gt;"",W79+X79+Y79+Z79+AB79+AC79+AD79,"")</f>
        <v/>
      </c>
      <c r="P79" s="9" t="str">
        <f aca="false">IF(G79&lt;&gt;"",IF(O79&lt;=Presupuesto,"✓","✗"),"")</f>
        <v/>
      </c>
      <c r="Q79" s="10" t="str">
        <f aca="false">IF(G79&lt;&gt;"",Presupuesto-O79,"")</f>
        <v/>
      </c>
      <c r="R79" s="11"/>
      <c r="S79" s="11"/>
      <c r="T79" s="12"/>
      <c r="U79" s="12"/>
      <c r="V79" s="11"/>
      <c r="W79" s="13" t="str">
        <f aca="false">IF(G79&lt;&gt;"",MAX(G79-Credito,G79*0.1),"")</f>
        <v/>
      </c>
      <c r="X79" s="13" t="str">
        <f aca="false">IF(G79&lt;&gt;"",ROUND(G79*0.02*1.21,0),"")</f>
        <v/>
      </c>
      <c r="Y79" s="13" t="str">
        <f aca="false">IF(G79&lt;&gt;"",IF(G79&lt;=140000,0,ROUND(G79*0.0175,0)),"")</f>
        <v/>
      </c>
      <c r="Z79" s="13" t="str">
        <f aca="false">IF(G79&lt;&gt;"",ROUND(G79*0.004,0),"")</f>
        <v/>
      </c>
      <c r="AA79" s="14"/>
      <c r="AB79" s="13" t="str">
        <f aca="false">IF(G79&lt;&gt;"",IF(AA79="Sí",ROUND(G79*0.04*1.21,0),0),"")</f>
        <v/>
      </c>
      <c r="AC79" s="13" t="str">
        <f aca="false">IF(G79&lt;&gt;"",ROUND(G79*0.01,0),"")</f>
        <v/>
      </c>
      <c r="AD79" s="13" t="str">
        <f aca="false">IF(G79&lt;&gt;"",300,"")</f>
        <v/>
      </c>
      <c r="AE79" s="15"/>
      <c r="AF79" s="15"/>
      <c r="AG79" s="16"/>
      <c r="AH79" s="16"/>
      <c r="AI79" s="17" t="str">
        <f aca="false">IF(AND(AG79&lt;&gt;"",AH79&lt;&gt;""),(AG79+AH79)/2,"")</f>
        <v/>
      </c>
      <c r="AJ79" s="15"/>
      <c r="AK79" s="15"/>
    </row>
    <row r="80" customFormat="false" ht="15" hidden="false" customHeight="false" outlineLevel="0" collapsed="false">
      <c r="A80" s="2" t="str">
        <f aca="false">IF(E80&lt;&gt;"",ROW()-1,"")</f>
        <v/>
      </c>
      <c r="B80" s="3"/>
      <c r="C80" s="3"/>
      <c r="D80" s="3"/>
      <c r="E80" s="4"/>
      <c r="F80" s="4"/>
      <c r="G80" s="5"/>
      <c r="H80" s="4"/>
      <c r="I80" s="4"/>
      <c r="J80" s="4"/>
      <c r="K80" s="4"/>
      <c r="L80" s="6" t="str">
        <f aca="false">IF(AND(G80&lt;&gt;"",H80&gt;0),ROUND(G80/H80,0),"")</f>
        <v/>
      </c>
      <c r="M80" s="6" t="str">
        <f aca="false">IF(F80&lt;&gt;"",IFERROR(VLOOKUP(F80,TablaRef,2,FALSE()),"?"),"")</f>
        <v/>
      </c>
      <c r="N80" s="7" t="str">
        <f aca="false">IF(AND(L80&lt;&gt;"",M80&lt;&gt;"",ISNUMBER(M80)),IF(L80&lt;M80*(1-MargenPct),"🟢",IF(L80&gt;M80*(1+MargenPct),"🔴","🟡")),"")</f>
        <v/>
      </c>
      <c r="O80" s="8" t="str">
        <f aca="false">IF(G80&lt;&gt;"",W80+X80+Y80+Z80+AB80+AC80+AD80,"")</f>
        <v/>
      </c>
      <c r="P80" s="9" t="str">
        <f aca="false">IF(G80&lt;&gt;"",IF(O80&lt;=Presupuesto,"✓","✗"),"")</f>
        <v/>
      </c>
      <c r="Q80" s="10" t="str">
        <f aca="false">IF(G80&lt;&gt;"",Presupuesto-O80,"")</f>
        <v/>
      </c>
      <c r="R80" s="11"/>
      <c r="S80" s="11"/>
      <c r="T80" s="12"/>
      <c r="U80" s="12"/>
      <c r="V80" s="11"/>
      <c r="W80" s="13" t="str">
        <f aca="false">IF(G80&lt;&gt;"",MAX(G80-Credito,G80*0.1),"")</f>
        <v/>
      </c>
      <c r="X80" s="13" t="str">
        <f aca="false">IF(G80&lt;&gt;"",ROUND(G80*0.02*1.21,0),"")</f>
        <v/>
      </c>
      <c r="Y80" s="13" t="str">
        <f aca="false">IF(G80&lt;&gt;"",IF(G80&lt;=140000,0,ROUND(G80*0.0175,0)),"")</f>
        <v/>
      </c>
      <c r="Z80" s="13" t="str">
        <f aca="false">IF(G80&lt;&gt;"",ROUND(G80*0.004,0),"")</f>
        <v/>
      </c>
      <c r="AA80" s="14"/>
      <c r="AB80" s="13" t="str">
        <f aca="false">IF(G80&lt;&gt;"",IF(AA80="Sí",ROUND(G80*0.04*1.21,0),0),"")</f>
        <v/>
      </c>
      <c r="AC80" s="13" t="str">
        <f aca="false">IF(G80&lt;&gt;"",ROUND(G80*0.01,0),"")</f>
        <v/>
      </c>
      <c r="AD80" s="13" t="str">
        <f aca="false">IF(G80&lt;&gt;"",300,"")</f>
        <v/>
      </c>
      <c r="AE80" s="15"/>
      <c r="AF80" s="15"/>
      <c r="AG80" s="16"/>
      <c r="AH80" s="16"/>
      <c r="AI80" s="17" t="str">
        <f aca="false">IF(AND(AG80&lt;&gt;"",AH80&lt;&gt;""),(AG80+AH80)/2,"")</f>
        <v/>
      </c>
      <c r="AJ80" s="15"/>
      <c r="AK80" s="15"/>
    </row>
    <row r="81" customFormat="false" ht="15" hidden="false" customHeight="false" outlineLevel="0" collapsed="false">
      <c r="A81" s="2" t="str">
        <f aca="false">IF(E81&lt;&gt;"",ROW()-1,"")</f>
        <v/>
      </c>
      <c r="B81" s="3"/>
      <c r="C81" s="3"/>
      <c r="D81" s="3"/>
      <c r="E81" s="4"/>
      <c r="F81" s="4"/>
      <c r="G81" s="5"/>
      <c r="H81" s="4"/>
      <c r="I81" s="4"/>
      <c r="J81" s="4"/>
      <c r="K81" s="4"/>
      <c r="L81" s="6" t="str">
        <f aca="false">IF(AND(G81&lt;&gt;"",H81&gt;0),ROUND(G81/H81,0),"")</f>
        <v/>
      </c>
      <c r="M81" s="6" t="str">
        <f aca="false">IF(F81&lt;&gt;"",IFERROR(VLOOKUP(F81,TablaRef,2,FALSE()),"?"),"")</f>
        <v/>
      </c>
      <c r="N81" s="7" t="str">
        <f aca="false">IF(AND(L81&lt;&gt;"",M81&lt;&gt;"",ISNUMBER(M81)),IF(L81&lt;M81*(1-MargenPct),"🟢",IF(L81&gt;M81*(1+MargenPct),"🔴","🟡")),"")</f>
        <v/>
      </c>
      <c r="O81" s="8" t="str">
        <f aca="false">IF(G81&lt;&gt;"",W81+X81+Y81+Z81+AB81+AC81+AD81,"")</f>
        <v/>
      </c>
      <c r="P81" s="9" t="str">
        <f aca="false">IF(G81&lt;&gt;"",IF(O81&lt;=Presupuesto,"✓","✗"),"")</f>
        <v/>
      </c>
      <c r="Q81" s="10" t="str">
        <f aca="false">IF(G81&lt;&gt;"",Presupuesto-O81,"")</f>
        <v/>
      </c>
      <c r="R81" s="11"/>
      <c r="S81" s="11"/>
      <c r="T81" s="12"/>
      <c r="U81" s="12"/>
      <c r="V81" s="11"/>
      <c r="W81" s="13" t="str">
        <f aca="false">IF(G81&lt;&gt;"",MAX(G81-Credito,G81*0.1),"")</f>
        <v/>
      </c>
      <c r="X81" s="13" t="str">
        <f aca="false">IF(G81&lt;&gt;"",ROUND(G81*0.02*1.21,0),"")</f>
        <v/>
      </c>
      <c r="Y81" s="13" t="str">
        <f aca="false">IF(G81&lt;&gt;"",IF(G81&lt;=140000,0,ROUND(G81*0.0175,0)),"")</f>
        <v/>
      </c>
      <c r="Z81" s="13" t="str">
        <f aca="false">IF(G81&lt;&gt;"",ROUND(G81*0.004,0),"")</f>
        <v/>
      </c>
      <c r="AA81" s="14"/>
      <c r="AB81" s="13" t="str">
        <f aca="false">IF(G81&lt;&gt;"",IF(AA81="Sí",ROUND(G81*0.04*1.21,0),0),"")</f>
        <v/>
      </c>
      <c r="AC81" s="13" t="str">
        <f aca="false">IF(G81&lt;&gt;"",ROUND(G81*0.01,0),"")</f>
        <v/>
      </c>
      <c r="AD81" s="13" t="str">
        <f aca="false">IF(G81&lt;&gt;"",300,"")</f>
        <v/>
      </c>
      <c r="AE81" s="15"/>
      <c r="AF81" s="15"/>
      <c r="AG81" s="16"/>
      <c r="AH81" s="16"/>
      <c r="AI81" s="17" t="str">
        <f aca="false">IF(AND(AG81&lt;&gt;"",AH81&lt;&gt;""),(AG81+AH81)/2,"")</f>
        <v/>
      </c>
      <c r="AJ81" s="15"/>
      <c r="AK81" s="15"/>
    </row>
    <row r="82" customFormat="false" ht="15" hidden="false" customHeight="false" outlineLevel="0" collapsed="false">
      <c r="A82" s="2" t="str">
        <f aca="false">IF(E82&lt;&gt;"",ROW()-1,"")</f>
        <v/>
      </c>
      <c r="B82" s="3"/>
      <c r="C82" s="3"/>
      <c r="D82" s="3"/>
      <c r="E82" s="4"/>
      <c r="F82" s="4"/>
      <c r="G82" s="5"/>
      <c r="H82" s="4"/>
      <c r="I82" s="4"/>
      <c r="J82" s="4"/>
      <c r="K82" s="4"/>
      <c r="L82" s="6" t="str">
        <f aca="false">IF(AND(G82&lt;&gt;"",H82&gt;0),ROUND(G82/H82,0),"")</f>
        <v/>
      </c>
      <c r="M82" s="6" t="str">
        <f aca="false">IF(F82&lt;&gt;"",IFERROR(VLOOKUP(F82,TablaRef,2,FALSE()),"?"),"")</f>
        <v/>
      </c>
      <c r="N82" s="7" t="str">
        <f aca="false">IF(AND(L82&lt;&gt;"",M82&lt;&gt;"",ISNUMBER(M82)),IF(L82&lt;M82*(1-MargenPct),"🟢",IF(L82&gt;M82*(1+MargenPct),"🔴","🟡")),"")</f>
        <v/>
      </c>
      <c r="O82" s="8" t="str">
        <f aca="false">IF(G82&lt;&gt;"",W82+X82+Y82+Z82+AB82+AC82+AD82,"")</f>
        <v/>
      </c>
      <c r="P82" s="9" t="str">
        <f aca="false">IF(G82&lt;&gt;"",IF(O82&lt;=Presupuesto,"✓","✗"),"")</f>
        <v/>
      </c>
      <c r="Q82" s="10" t="str">
        <f aca="false">IF(G82&lt;&gt;"",Presupuesto-O82,"")</f>
        <v/>
      </c>
      <c r="R82" s="11"/>
      <c r="S82" s="11"/>
      <c r="T82" s="12"/>
      <c r="U82" s="12"/>
      <c r="V82" s="11"/>
      <c r="W82" s="13" t="str">
        <f aca="false">IF(G82&lt;&gt;"",MAX(G82-Credito,G82*0.1),"")</f>
        <v/>
      </c>
      <c r="X82" s="13" t="str">
        <f aca="false">IF(G82&lt;&gt;"",ROUND(G82*0.02*1.21,0),"")</f>
        <v/>
      </c>
      <c r="Y82" s="13" t="str">
        <f aca="false">IF(G82&lt;&gt;"",IF(G82&lt;=140000,0,ROUND(G82*0.0175,0)),"")</f>
        <v/>
      </c>
      <c r="Z82" s="13" t="str">
        <f aca="false">IF(G82&lt;&gt;"",ROUND(G82*0.004,0),"")</f>
        <v/>
      </c>
      <c r="AA82" s="14"/>
      <c r="AB82" s="13" t="str">
        <f aca="false">IF(G82&lt;&gt;"",IF(AA82="Sí",ROUND(G82*0.04*1.21,0),0),"")</f>
        <v/>
      </c>
      <c r="AC82" s="13" t="str">
        <f aca="false">IF(G82&lt;&gt;"",ROUND(G82*0.01,0),"")</f>
        <v/>
      </c>
      <c r="AD82" s="13" t="str">
        <f aca="false">IF(G82&lt;&gt;"",300,"")</f>
        <v/>
      </c>
      <c r="AE82" s="15"/>
      <c r="AF82" s="15"/>
      <c r="AG82" s="16"/>
      <c r="AH82" s="16"/>
      <c r="AI82" s="17" t="str">
        <f aca="false">IF(AND(AG82&lt;&gt;"",AH82&lt;&gt;""),(AG82+AH82)/2,"")</f>
        <v/>
      </c>
      <c r="AJ82" s="15"/>
      <c r="AK82" s="15"/>
    </row>
    <row r="83" customFormat="false" ht="15" hidden="false" customHeight="false" outlineLevel="0" collapsed="false">
      <c r="A83" s="2" t="str">
        <f aca="false">IF(E83&lt;&gt;"",ROW()-1,"")</f>
        <v/>
      </c>
      <c r="B83" s="3"/>
      <c r="C83" s="3"/>
      <c r="D83" s="3"/>
      <c r="E83" s="4"/>
      <c r="F83" s="4"/>
      <c r="G83" s="5"/>
      <c r="H83" s="4"/>
      <c r="I83" s="4"/>
      <c r="J83" s="4"/>
      <c r="K83" s="4"/>
      <c r="L83" s="6" t="str">
        <f aca="false">IF(AND(G83&lt;&gt;"",H83&gt;0),ROUND(G83/H83,0),"")</f>
        <v/>
      </c>
      <c r="M83" s="6" t="str">
        <f aca="false">IF(F83&lt;&gt;"",IFERROR(VLOOKUP(F83,TablaRef,2,FALSE()),"?"),"")</f>
        <v/>
      </c>
      <c r="N83" s="7" t="str">
        <f aca="false">IF(AND(L83&lt;&gt;"",M83&lt;&gt;"",ISNUMBER(M83)),IF(L83&lt;M83*(1-MargenPct),"🟢",IF(L83&gt;M83*(1+MargenPct),"🔴","🟡")),"")</f>
        <v/>
      </c>
      <c r="O83" s="8" t="str">
        <f aca="false">IF(G83&lt;&gt;"",W83+X83+Y83+Z83+AB83+AC83+AD83,"")</f>
        <v/>
      </c>
      <c r="P83" s="9" t="str">
        <f aca="false">IF(G83&lt;&gt;"",IF(O83&lt;=Presupuesto,"✓","✗"),"")</f>
        <v/>
      </c>
      <c r="Q83" s="10" t="str">
        <f aca="false">IF(G83&lt;&gt;"",Presupuesto-O83,"")</f>
        <v/>
      </c>
      <c r="R83" s="11"/>
      <c r="S83" s="11"/>
      <c r="T83" s="12"/>
      <c r="U83" s="12"/>
      <c r="V83" s="11"/>
      <c r="W83" s="13" t="str">
        <f aca="false">IF(G83&lt;&gt;"",MAX(G83-Credito,G83*0.1),"")</f>
        <v/>
      </c>
      <c r="X83" s="13" t="str">
        <f aca="false">IF(G83&lt;&gt;"",ROUND(G83*0.02*1.21,0),"")</f>
        <v/>
      </c>
      <c r="Y83" s="13" t="str">
        <f aca="false">IF(G83&lt;&gt;"",IF(G83&lt;=140000,0,ROUND(G83*0.0175,0)),"")</f>
        <v/>
      </c>
      <c r="Z83" s="13" t="str">
        <f aca="false">IF(G83&lt;&gt;"",ROUND(G83*0.004,0),"")</f>
        <v/>
      </c>
      <c r="AA83" s="14"/>
      <c r="AB83" s="13" t="str">
        <f aca="false">IF(G83&lt;&gt;"",IF(AA83="Sí",ROUND(G83*0.04*1.21,0),0),"")</f>
        <v/>
      </c>
      <c r="AC83" s="13" t="str">
        <f aca="false">IF(G83&lt;&gt;"",ROUND(G83*0.01,0),"")</f>
        <v/>
      </c>
      <c r="AD83" s="13" t="str">
        <f aca="false">IF(G83&lt;&gt;"",300,"")</f>
        <v/>
      </c>
      <c r="AE83" s="15"/>
      <c r="AF83" s="15"/>
      <c r="AG83" s="16"/>
      <c r="AH83" s="16"/>
      <c r="AI83" s="17" t="str">
        <f aca="false">IF(AND(AG83&lt;&gt;"",AH83&lt;&gt;""),(AG83+AH83)/2,"")</f>
        <v/>
      </c>
      <c r="AJ83" s="15"/>
      <c r="AK83" s="15"/>
    </row>
    <row r="84" customFormat="false" ht="15" hidden="false" customHeight="false" outlineLevel="0" collapsed="false">
      <c r="A84" s="2" t="str">
        <f aca="false">IF(E84&lt;&gt;"",ROW()-1,"")</f>
        <v/>
      </c>
      <c r="B84" s="3"/>
      <c r="C84" s="3"/>
      <c r="D84" s="3"/>
      <c r="E84" s="4"/>
      <c r="F84" s="4"/>
      <c r="G84" s="5"/>
      <c r="H84" s="4"/>
      <c r="I84" s="4"/>
      <c r="J84" s="4"/>
      <c r="K84" s="4"/>
      <c r="L84" s="6" t="str">
        <f aca="false">IF(AND(G84&lt;&gt;"",H84&gt;0),ROUND(G84/H84,0),"")</f>
        <v/>
      </c>
      <c r="M84" s="6" t="str">
        <f aca="false">IF(F84&lt;&gt;"",IFERROR(VLOOKUP(F84,TablaRef,2,FALSE()),"?"),"")</f>
        <v/>
      </c>
      <c r="N84" s="7" t="str">
        <f aca="false">IF(AND(L84&lt;&gt;"",M84&lt;&gt;"",ISNUMBER(M84)),IF(L84&lt;M84*(1-MargenPct),"🟢",IF(L84&gt;M84*(1+MargenPct),"🔴","🟡")),"")</f>
        <v/>
      </c>
      <c r="O84" s="8" t="str">
        <f aca="false">IF(G84&lt;&gt;"",W84+X84+Y84+Z84+AB84+AC84+AD84,"")</f>
        <v/>
      </c>
      <c r="P84" s="9" t="str">
        <f aca="false">IF(G84&lt;&gt;"",IF(O84&lt;=Presupuesto,"✓","✗"),"")</f>
        <v/>
      </c>
      <c r="Q84" s="10" t="str">
        <f aca="false">IF(G84&lt;&gt;"",Presupuesto-O84,"")</f>
        <v/>
      </c>
      <c r="R84" s="11"/>
      <c r="S84" s="11"/>
      <c r="T84" s="12"/>
      <c r="U84" s="12"/>
      <c r="V84" s="11"/>
      <c r="W84" s="13" t="str">
        <f aca="false">IF(G84&lt;&gt;"",MAX(G84-Credito,G84*0.1),"")</f>
        <v/>
      </c>
      <c r="X84" s="13" t="str">
        <f aca="false">IF(G84&lt;&gt;"",ROUND(G84*0.02*1.21,0),"")</f>
        <v/>
      </c>
      <c r="Y84" s="13" t="str">
        <f aca="false">IF(G84&lt;&gt;"",IF(G84&lt;=140000,0,ROUND(G84*0.0175,0)),"")</f>
        <v/>
      </c>
      <c r="Z84" s="13" t="str">
        <f aca="false">IF(G84&lt;&gt;"",ROUND(G84*0.004,0),"")</f>
        <v/>
      </c>
      <c r="AA84" s="14"/>
      <c r="AB84" s="13" t="str">
        <f aca="false">IF(G84&lt;&gt;"",IF(AA84="Sí",ROUND(G84*0.04*1.21,0),0),"")</f>
        <v/>
      </c>
      <c r="AC84" s="13" t="str">
        <f aca="false">IF(G84&lt;&gt;"",ROUND(G84*0.01,0),"")</f>
        <v/>
      </c>
      <c r="AD84" s="13" t="str">
        <f aca="false">IF(G84&lt;&gt;"",300,"")</f>
        <v/>
      </c>
      <c r="AE84" s="15"/>
      <c r="AF84" s="15"/>
      <c r="AG84" s="16"/>
      <c r="AH84" s="16"/>
      <c r="AI84" s="17" t="str">
        <f aca="false">IF(AND(AG84&lt;&gt;"",AH84&lt;&gt;""),(AG84+AH84)/2,"")</f>
        <v/>
      </c>
      <c r="AJ84" s="15"/>
      <c r="AK84" s="15"/>
    </row>
    <row r="85" customFormat="false" ht="15" hidden="false" customHeight="false" outlineLevel="0" collapsed="false">
      <c r="A85" s="2" t="str">
        <f aca="false">IF(E85&lt;&gt;"",ROW()-1,"")</f>
        <v/>
      </c>
      <c r="B85" s="3"/>
      <c r="C85" s="3"/>
      <c r="D85" s="3"/>
      <c r="E85" s="4"/>
      <c r="F85" s="4"/>
      <c r="G85" s="5"/>
      <c r="H85" s="4"/>
      <c r="I85" s="4"/>
      <c r="J85" s="4"/>
      <c r="K85" s="4"/>
      <c r="L85" s="6" t="str">
        <f aca="false">IF(AND(G85&lt;&gt;"",H85&gt;0),ROUND(G85/H85,0),"")</f>
        <v/>
      </c>
      <c r="M85" s="6" t="str">
        <f aca="false">IF(F85&lt;&gt;"",IFERROR(VLOOKUP(F85,TablaRef,2,FALSE()),"?"),"")</f>
        <v/>
      </c>
      <c r="N85" s="7" t="str">
        <f aca="false">IF(AND(L85&lt;&gt;"",M85&lt;&gt;"",ISNUMBER(M85)),IF(L85&lt;M85*(1-MargenPct),"🟢",IF(L85&gt;M85*(1+MargenPct),"🔴","🟡")),"")</f>
        <v/>
      </c>
      <c r="O85" s="8" t="str">
        <f aca="false">IF(G85&lt;&gt;"",W85+X85+Y85+Z85+AB85+AC85+AD85,"")</f>
        <v/>
      </c>
      <c r="P85" s="9" t="str">
        <f aca="false">IF(G85&lt;&gt;"",IF(O85&lt;=Presupuesto,"✓","✗"),"")</f>
        <v/>
      </c>
      <c r="Q85" s="10" t="str">
        <f aca="false">IF(G85&lt;&gt;"",Presupuesto-O85,"")</f>
        <v/>
      </c>
      <c r="R85" s="11"/>
      <c r="S85" s="11"/>
      <c r="T85" s="12"/>
      <c r="U85" s="12"/>
      <c r="V85" s="11"/>
      <c r="W85" s="13" t="str">
        <f aca="false">IF(G85&lt;&gt;"",MAX(G85-Credito,G85*0.1),"")</f>
        <v/>
      </c>
      <c r="X85" s="13" t="str">
        <f aca="false">IF(G85&lt;&gt;"",ROUND(G85*0.02*1.21,0),"")</f>
        <v/>
      </c>
      <c r="Y85" s="13" t="str">
        <f aca="false">IF(G85&lt;&gt;"",IF(G85&lt;=140000,0,ROUND(G85*0.0175,0)),"")</f>
        <v/>
      </c>
      <c r="Z85" s="13" t="str">
        <f aca="false">IF(G85&lt;&gt;"",ROUND(G85*0.004,0),"")</f>
        <v/>
      </c>
      <c r="AA85" s="14"/>
      <c r="AB85" s="13" t="str">
        <f aca="false">IF(G85&lt;&gt;"",IF(AA85="Sí",ROUND(G85*0.04*1.21,0),0),"")</f>
        <v/>
      </c>
      <c r="AC85" s="13" t="str">
        <f aca="false">IF(G85&lt;&gt;"",ROUND(G85*0.01,0),"")</f>
        <v/>
      </c>
      <c r="AD85" s="13" t="str">
        <f aca="false">IF(G85&lt;&gt;"",300,"")</f>
        <v/>
      </c>
      <c r="AE85" s="15"/>
      <c r="AF85" s="15"/>
      <c r="AG85" s="16"/>
      <c r="AH85" s="16"/>
      <c r="AI85" s="17" t="str">
        <f aca="false">IF(AND(AG85&lt;&gt;"",AH85&lt;&gt;""),(AG85+AH85)/2,"")</f>
        <v/>
      </c>
      <c r="AJ85" s="15"/>
      <c r="AK85" s="15"/>
    </row>
    <row r="86" customFormat="false" ht="15" hidden="false" customHeight="false" outlineLevel="0" collapsed="false">
      <c r="A86" s="2" t="str">
        <f aca="false">IF(E86&lt;&gt;"",ROW()-1,"")</f>
        <v/>
      </c>
      <c r="B86" s="3"/>
      <c r="C86" s="3"/>
      <c r="D86" s="3"/>
      <c r="E86" s="4"/>
      <c r="F86" s="4"/>
      <c r="G86" s="5"/>
      <c r="H86" s="4"/>
      <c r="I86" s="4"/>
      <c r="J86" s="4"/>
      <c r="K86" s="4"/>
      <c r="L86" s="6" t="str">
        <f aca="false">IF(AND(G86&lt;&gt;"",H86&gt;0),ROUND(G86/H86,0),"")</f>
        <v/>
      </c>
      <c r="M86" s="6" t="str">
        <f aca="false">IF(F86&lt;&gt;"",IFERROR(VLOOKUP(F86,TablaRef,2,FALSE()),"?"),"")</f>
        <v/>
      </c>
      <c r="N86" s="7" t="str">
        <f aca="false">IF(AND(L86&lt;&gt;"",M86&lt;&gt;"",ISNUMBER(M86)),IF(L86&lt;M86*(1-MargenPct),"🟢",IF(L86&gt;M86*(1+MargenPct),"🔴","🟡")),"")</f>
        <v/>
      </c>
      <c r="O86" s="8" t="str">
        <f aca="false">IF(G86&lt;&gt;"",W86+X86+Y86+Z86+AB86+AC86+AD86,"")</f>
        <v/>
      </c>
      <c r="P86" s="9" t="str">
        <f aca="false">IF(G86&lt;&gt;"",IF(O86&lt;=Presupuesto,"✓","✗"),"")</f>
        <v/>
      </c>
      <c r="Q86" s="10" t="str">
        <f aca="false">IF(G86&lt;&gt;"",Presupuesto-O86,"")</f>
        <v/>
      </c>
      <c r="R86" s="11"/>
      <c r="S86" s="11"/>
      <c r="T86" s="12"/>
      <c r="U86" s="12"/>
      <c r="V86" s="11"/>
      <c r="W86" s="13" t="str">
        <f aca="false">IF(G86&lt;&gt;"",MAX(G86-Credito,G86*0.1),"")</f>
        <v/>
      </c>
      <c r="X86" s="13" t="str">
        <f aca="false">IF(G86&lt;&gt;"",ROUND(G86*0.02*1.21,0),"")</f>
        <v/>
      </c>
      <c r="Y86" s="13" t="str">
        <f aca="false">IF(G86&lt;&gt;"",IF(G86&lt;=140000,0,ROUND(G86*0.0175,0)),"")</f>
        <v/>
      </c>
      <c r="Z86" s="13" t="str">
        <f aca="false">IF(G86&lt;&gt;"",ROUND(G86*0.004,0),"")</f>
        <v/>
      </c>
      <c r="AA86" s="14"/>
      <c r="AB86" s="13" t="str">
        <f aca="false">IF(G86&lt;&gt;"",IF(AA86="Sí",ROUND(G86*0.04*1.21,0),0),"")</f>
        <v/>
      </c>
      <c r="AC86" s="13" t="str">
        <f aca="false">IF(G86&lt;&gt;"",ROUND(G86*0.01,0),"")</f>
        <v/>
      </c>
      <c r="AD86" s="13" t="str">
        <f aca="false">IF(G86&lt;&gt;"",300,"")</f>
        <v/>
      </c>
      <c r="AE86" s="15"/>
      <c r="AF86" s="15"/>
      <c r="AG86" s="16"/>
      <c r="AH86" s="16"/>
      <c r="AI86" s="17" t="str">
        <f aca="false">IF(AND(AG86&lt;&gt;"",AH86&lt;&gt;""),(AG86+AH86)/2,"")</f>
        <v/>
      </c>
      <c r="AJ86" s="15"/>
      <c r="AK86" s="15"/>
    </row>
    <row r="87" customFormat="false" ht="15" hidden="false" customHeight="false" outlineLevel="0" collapsed="false">
      <c r="A87" s="2" t="str">
        <f aca="false">IF(E87&lt;&gt;"",ROW()-1,"")</f>
        <v/>
      </c>
      <c r="B87" s="3"/>
      <c r="C87" s="3"/>
      <c r="D87" s="3"/>
      <c r="E87" s="4"/>
      <c r="F87" s="4"/>
      <c r="G87" s="5"/>
      <c r="H87" s="4"/>
      <c r="I87" s="4"/>
      <c r="J87" s="4"/>
      <c r="K87" s="4"/>
      <c r="L87" s="6" t="str">
        <f aca="false">IF(AND(G87&lt;&gt;"",H87&gt;0),ROUND(G87/H87,0),"")</f>
        <v/>
      </c>
      <c r="M87" s="6" t="str">
        <f aca="false">IF(F87&lt;&gt;"",IFERROR(VLOOKUP(F87,TablaRef,2,FALSE()),"?"),"")</f>
        <v/>
      </c>
      <c r="N87" s="7" t="str">
        <f aca="false">IF(AND(L87&lt;&gt;"",M87&lt;&gt;"",ISNUMBER(M87)),IF(L87&lt;M87*(1-MargenPct),"🟢",IF(L87&gt;M87*(1+MargenPct),"🔴","🟡")),"")</f>
        <v/>
      </c>
      <c r="O87" s="8" t="str">
        <f aca="false">IF(G87&lt;&gt;"",W87+X87+Y87+Z87+AB87+AC87+AD87,"")</f>
        <v/>
      </c>
      <c r="P87" s="9" t="str">
        <f aca="false">IF(G87&lt;&gt;"",IF(O87&lt;=Presupuesto,"✓","✗"),"")</f>
        <v/>
      </c>
      <c r="Q87" s="10" t="str">
        <f aca="false">IF(G87&lt;&gt;"",Presupuesto-O87,"")</f>
        <v/>
      </c>
      <c r="R87" s="11"/>
      <c r="S87" s="11"/>
      <c r="T87" s="12"/>
      <c r="U87" s="12"/>
      <c r="V87" s="11"/>
      <c r="W87" s="13" t="str">
        <f aca="false">IF(G87&lt;&gt;"",MAX(G87-Credito,G87*0.1),"")</f>
        <v/>
      </c>
      <c r="X87" s="13" t="str">
        <f aca="false">IF(G87&lt;&gt;"",ROUND(G87*0.02*1.21,0),"")</f>
        <v/>
      </c>
      <c r="Y87" s="13" t="str">
        <f aca="false">IF(G87&lt;&gt;"",IF(G87&lt;=140000,0,ROUND(G87*0.0175,0)),"")</f>
        <v/>
      </c>
      <c r="Z87" s="13" t="str">
        <f aca="false">IF(G87&lt;&gt;"",ROUND(G87*0.004,0),"")</f>
        <v/>
      </c>
      <c r="AA87" s="14"/>
      <c r="AB87" s="13" t="str">
        <f aca="false">IF(G87&lt;&gt;"",IF(AA87="Sí",ROUND(G87*0.04*1.21,0),0),"")</f>
        <v/>
      </c>
      <c r="AC87" s="13" t="str">
        <f aca="false">IF(G87&lt;&gt;"",ROUND(G87*0.01,0),"")</f>
        <v/>
      </c>
      <c r="AD87" s="13" t="str">
        <f aca="false">IF(G87&lt;&gt;"",300,"")</f>
        <v/>
      </c>
      <c r="AE87" s="15"/>
      <c r="AF87" s="15"/>
      <c r="AG87" s="16"/>
      <c r="AH87" s="16"/>
      <c r="AI87" s="17" t="str">
        <f aca="false">IF(AND(AG87&lt;&gt;"",AH87&lt;&gt;""),(AG87+AH87)/2,"")</f>
        <v/>
      </c>
      <c r="AJ87" s="15"/>
      <c r="AK87" s="15"/>
    </row>
    <row r="88" customFormat="false" ht="15" hidden="false" customHeight="false" outlineLevel="0" collapsed="false">
      <c r="A88" s="2" t="str">
        <f aca="false">IF(E88&lt;&gt;"",ROW()-1,"")</f>
        <v/>
      </c>
      <c r="B88" s="3"/>
      <c r="C88" s="3"/>
      <c r="D88" s="3"/>
      <c r="E88" s="4"/>
      <c r="F88" s="4"/>
      <c r="G88" s="5"/>
      <c r="H88" s="4"/>
      <c r="I88" s="4"/>
      <c r="J88" s="4"/>
      <c r="K88" s="4"/>
      <c r="L88" s="6" t="str">
        <f aca="false">IF(AND(G88&lt;&gt;"",H88&gt;0),ROUND(G88/H88,0),"")</f>
        <v/>
      </c>
      <c r="M88" s="6" t="str">
        <f aca="false">IF(F88&lt;&gt;"",IFERROR(VLOOKUP(F88,TablaRef,2,FALSE()),"?"),"")</f>
        <v/>
      </c>
      <c r="N88" s="7" t="str">
        <f aca="false">IF(AND(L88&lt;&gt;"",M88&lt;&gt;"",ISNUMBER(M88)),IF(L88&lt;M88*(1-MargenPct),"🟢",IF(L88&gt;M88*(1+MargenPct),"🔴","🟡")),"")</f>
        <v/>
      </c>
      <c r="O88" s="8" t="str">
        <f aca="false">IF(G88&lt;&gt;"",W88+X88+Y88+Z88+AB88+AC88+AD88,"")</f>
        <v/>
      </c>
      <c r="P88" s="9" t="str">
        <f aca="false">IF(G88&lt;&gt;"",IF(O88&lt;=Presupuesto,"✓","✗"),"")</f>
        <v/>
      </c>
      <c r="Q88" s="10" t="str">
        <f aca="false">IF(G88&lt;&gt;"",Presupuesto-O88,"")</f>
        <v/>
      </c>
      <c r="R88" s="11"/>
      <c r="S88" s="11"/>
      <c r="T88" s="12"/>
      <c r="U88" s="12"/>
      <c r="V88" s="11"/>
      <c r="W88" s="13" t="str">
        <f aca="false">IF(G88&lt;&gt;"",MAX(G88-Credito,G88*0.1),"")</f>
        <v/>
      </c>
      <c r="X88" s="13" t="str">
        <f aca="false">IF(G88&lt;&gt;"",ROUND(G88*0.02*1.21,0),"")</f>
        <v/>
      </c>
      <c r="Y88" s="13" t="str">
        <f aca="false">IF(G88&lt;&gt;"",IF(G88&lt;=140000,0,ROUND(G88*0.0175,0)),"")</f>
        <v/>
      </c>
      <c r="Z88" s="13" t="str">
        <f aca="false">IF(G88&lt;&gt;"",ROUND(G88*0.004,0),"")</f>
        <v/>
      </c>
      <c r="AA88" s="14"/>
      <c r="AB88" s="13" t="str">
        <f aca="false">IF(G88&lt;&gt;"",IF(AA88="Sí",ROUND(G88*0.04*1.21,0),0),"")</f>
        <v/>
      </c>
      <c r="AC88" s="13" t="str">
        <f aca="false">IF(G88&lt;&gt;"",ROUND(G88*0.01,0),"")</f>
        <v/>
      </c>
      <c r="AD88" s="13" t="str">
        <f aca="false">IF(G88&lt;&gt;"",300,"")</f>
        <v/>
      </c>
      <c r="AE88" s="15"/>
      <c r="AF88" s="15"/>
      <c r="AG88" s="16"/>
      <c r="AH88" s="16"/>
      <c r="AI88" s="17" t="str">
        <f aca="false">IF(AND(AG88&lt;&gt;"",AH88&lt;&gt;""),(AG88+AH88)/2,"")</f>
        <v/>
      </c>
      <c r="AJ88" s="15"/>
      <c r="AK88" s="15"/>
    </row>
    <row r="89" customFormat="false" ht="15" hidden="false" customHeight="false" outlineLevel="0" collapsed="false">
      <c r="A89" s="2" t="str">
        <f aca="false">IF(E89&lt;&gt;"",ROW()-1,"")</f>
        <v/>
      </c>
      <c r="B89" s="3"/>
      <c r="C89" s="3"/>
      <c r="D89" s="3"/>
      <c r="E89" s="4"/>
      <c r="F89" s="4"/>
      <c r="G89" s="5"/>
      <c r="H89" s="4"/>
      <c r="I89" s="4"/>
      <c r="J89" s="4"/>
      <c r="K89" s="4"/>
      <c r="L89" s="6" t="str">
        <f aca="false">IF(AND(G89&lt;&gt;"",H89&gt;0),ROUND(G89/H89,0),"")</f>
        <v/>
      </c>
      <c r="M89" s="6" t="str">
        <f aca="false">IF(F89&lt;&gt;"",IFERROR(VLOOKUP(F89,TablaRef,2,FALSE()),"?"),"")</f>
        <v/>
      </c>
      <c r="N89" s="7" t="str">
        <f aca="false">IF(AND(L89&lt;&gt;"",M89&lt;&gt;"",ISNUMBER(M89)),IF(L89&lt;M89*(1-MargenPct),"🟢",IF(L89&gt;M89*(1+MargenPct),"🔴","🟡")),"")</f>
        <v/>
      </c>
      <c r="O89" s="8" t="str">
        <f aca="false">IF(G89&lt;&gt;"",W89+X89+Y89+Z89+AB89+AC89+AD89,"")</f>
        <v/>
      </c>
      <c r="P89" s="9" t="str">
        <f aca="false">IF(G89&lt;&gt;"",IF(O89&lt;=Presupuesto,"✓","✗"),"")</f>
        <v/>
      </c>
      <c r="Q89" s="10" t="str">
        <f aca="false">IF(G89&lt;&gt;"",Presupuesto-O89,"")</f>
        <v/>
      </c>
      <c r="R89" s="11"/>
      <c r="S89" s="11"/>
      <c r="T89" s="12"/>
      <c r="U89" s="12"/>
      <c r="V89" s="11"/>
      <c r="W89" s="13" t="str">
        <f aca="false">IF(G89&lt;&gt;"",MAX(G89-Credito,G89*0.1),"")</f>
        <v/>
      </c>
      <c r="X89" s="13" t="str">
        <f aca="false">IF(G89&lt;&gt;"",ROUND(G89*0.02*1.21,0),"")</f>
        <v/>
      </c>
      <c r="Y89" s="13" t="str">
        <f aca="false">IF(G89&lt;&gt;"",IF(G89&lt;=140000,0,ROUND(G89*0.0175,0)),"")</f>
        <v/>
      </c>
      <c r="Z89" s="13" t="str">
        <f aca="false">IF(G89&lt;&gt;"",ROUND(G89*0.004,0),"")</f>
        <v/>
      </c>
      <c r="AA89" s="14"/>
      <c r="AB89" s="13" t="str">
        <f aca="false">IF(G89&lt;&gt;"",IF(AA89="Sí",ROUND(G89*0.04*1.21,0),0),"")</f>
        <v/>
      </c>
      <c r="AC89" s="13" t="str">
        <f aca="false">IF(G89&lt;&gt;"",ROUND(G89*0.01,0),"")</f>
        <v/>
      </c>
      <c r="AD89" s="13" t="str">
        <f aca="false">IF(G89&lt;&gt;"",300,"")</f>
        <v/>
      </c>
      <c r="AE89" s="15"/>
      <c r="AF89" s="15"/>
      <c r="AG89" s="16"/>
      <c r="AH89" s="16"/>
      <c r="AI89" s="17" t="str">
        <f aca="false">IF(AND(AG89&lt;&gt;"",AH89&lt;&gt;""),(AG89+AH89)/2,"")</f>
        <v/>
      </c>
      <c r="AJ89" s="15"/>
      <c r="AK89" s="15"/>
    </row>
    <row r="90" customFormat="false" ht="15" hidden="false" customHeight="false" outlineLevel="0" collapsed="false">
      <c r="A90" s="2" t="str">
        <f aca="false">IF(E90&lt;&gt;"",ROW()-1,"")</f>
        <v/>
      </c>
      <c r="B90" s="3"/>
      <c r="C90" s="3"/>
      <c r="D90" s="3"/>
      <c r="E90" s="4"/>
      <c r="F90" s="4"/>
      <c r="G90" s="5"/>
      <c r="H90" s="4"/>
      <c r="I90" s="4"/>
      <c r="J90" s="4"/>
      <c r="K90" s="4"/>
      <c r="L90" s="6" t="str">
        <f aca="false">IF(AND(G90&lt;&gt;"",H90&gt;0),ROUND(G90/H90,0),"")</f>
        <v/>
      </c>
      <c r="M90" s="6" t="str">
        <f aca="false">IF(F90&lt;&gt;"",IFERROR(VLOOKUP(F90,TablaRef,2,FALSE()),"?"),"")</f>
        <v/>
      </c>
      <c r="N90" s="7" t="str">
        <f aca="false">IF(AND(L90&lt;&gt;"",M90&lt;&gt;"",ISNUMBER(M90)),IF(L90&lt;M90*(1-MargenPct),"🟢",IF(L90&gt;M90*(1+MargenPct),"🔴","🟡")),"")</f>
        <v/>
      </c>
      <c r="O90" s="8" t="str">
        <f aca="false">IF(G90&lt;&gt;"",W90+X90+Y90+Z90+AB90+AC90+AD90,"")</f>
        <v/>
      </c>
      <c r="P90" s="9" t="str">
        <f aca="false">IF(G90&lt;&gt;"",IF(O90&lt;=Presupuesto,"✓","✗"),"")</f>
        <v/>
      </c>
      <c r="Q90" s="10" t="str">
        <f aca="false">IF(G90&lt;&gt;"",Presupuesto-O90,"")</f>
        <v/>
      </c>
      <c r="R90" s="11"/>
      <c r="S90" s="11"/>
      <c r="T90" s="12"/>
      <c r="U90" s="12"/>
      <c r="V90" s="11"/>
      <c r="W90" s="13" t="str">
        <f aca="false">IF(G90&lt;&gt;"",MAX(G90-Credito,G90*0.1),"")</f>
        <v/>
      </c>
      <c r="X90" s="13" t="str">
        <f aca="false">IF(G90&lt;&gt;"",ROUND(G90*0.02*1.21,0),"")</f>
        <v/>
      </c>
      <c r="Y90" s="13" t="str">
        <f aca="false">IF(G90&lt;&gt;"",IF(G90&lt;=140000,0,ROUND(G90*0.0175,0)),"")</f>
        <v/>
      </c>
      <c r="Z90" s="13" t="str">
        <f aca="false">IF(G90&lt;&gt;"",ROUND(G90*0.004,0),"")</f>
        <v/>
      </c>
      <c r="AA90" s="14"/>
      <c r="AB90" s="13" t="str">
        <f aca="false">IF(G90&lt;&gt;"",IF(AA90="Sí",ROUND(G90*0.04*1.21,0),0),"")</f>
        <v/>
      </c>
      <c r="AC90" s="13" t="str">
        <f aca="false">IF(G90&lt;&gt;"",ROUND(G90*0.01,0),"")</f>
        <v/>
      </c>
      <c r="AD90" s="13" t="str">
        <f aca="false">IF(G90&lt;&gt;"",300,"")</f>
        <v/>
      </c>
      <c r="AE90" s="15"/>
      <c r="AF90" s="15"/>
      <c r="AG90" s="16"/>
      <c r="AH90" s="16"/>
      <c r="AI90" s="17" t="str">
        <f aca="false">IF(AND(AG90&lt;&gt;"",AH90&lt;&gt;""),(AG90+AH90)/2,"")</f>
        <v/>
      </c>
      <c r="AJ90" s="15"/>
      <c r="AK90" s="15"/>
    </row>
    <row r="91" customFormat="false" ht="15" hidden="false" customHeight="false" outlineLevel="0" collapsed="false">
      <c r="A91" s="2" t="str">
        <f aca="false">IF(E91&lt;&gt;"",ROW()-1,"")</f>
        <v/>
      </c>
      <c r="B91" s="3"/>
      <c r="C91" s="3"/>
      <c r="D91" s="3"/>
      <c r="E91" s="4"/>
      <c r="F91" s="4"/>
      <c r="G91" s="5"/>
      <c r="H91" s="4"/>
      <c r="I91" s="4"/>
      <c r="J91" s="4"/>
      <c r="K91" s="4"/>
      <c r="L91" s="6" t="str">
        <f aca="false">IF(AND(G91&lt;&gt;"",H91&gt;0),ROUND(G91/H91,0),"")</f>
        <v/>
      </c>
      <c r="M91" s="6" t="str">
        <f aca="false">IF(F91&lt;&gt;"",IFERROR(VLOOKUP(F91,TablaRef,2,FALSE()),"?"),"")</f>
        <v/>
      </c>
      <c r="N91" s="7" t="str">
        <f aca="false">IF(AND(L91&lt;&gt;"",M91&lt;&gt;"",ISNUMBER(M91)),IF(L91&lt;M91*(1-MargenPct),"🟢",IF(L91&gt;M91*(1+MargenPct),"🔴","🟡")),"")</f>
        <v/>
      </c>
      <c r="O91" s="8" t="str">
        <f aca="false">IF(G91&lt;&gt;"",W91+X91+Y91+Z91+AB91+AC91+AD91,"")</f>
        <v/>
      </c>
      <c r="P91" s="9" t="str">
        <f aca="false">IF(G91&lt;&gt;"",IF(O91&lt;=Presupuesto,"✓","✗"),"")</f>
        <v/>
      </c>
      <c r="Q91" s="10" t="str">
        <f aca="false">IF(G91&lt;&gt;"",Presupuesto-O91,"")</f>
        <v/>
      </c>
      <c r="R91" s="11"/>
      <c r="S91" s="11"/>
      <c r="T91" s="12"/>
      <c r="U91" s="12"/>
      <c r="V91" s="11"/>
      <c r="W91" s="13" t="str">
        <f aca="false">IF(G91&lt;&gt;"",MAX(G91-Credito,G91*0.1),"")</f>
        <v/>
      </c>
      <c r="X91" s="13" t="str">
        <f aca="false">IF(G91&lt;&gt;"",ROUND(G91*0.02*1.21,0),"")</f>
        <v/>
      </c>
      <c r="Y91" s="13" t="str">
        <f aca="false">IF(G91&lt;&gt;"",IF(G91&lt;=140000,0,ROUND(G91*0.0175,0)),"")</f>
        <v/>
      </c>
      <c r="Z91" s="13" t="str">
        <f aca="false">IF(G91&lt;&gt;"",ROUND(G91*0.004,0),"")</f>
        <v/>
      </c>
      <c r="AA91" s="14"/>
      <c r="AB91" s="13" t="str">
        <f aca="false">IF(G91&lt;&gt;"",IF(AA91="Sí",ROUND(G91*0.04*1.21,0),0),"")</f>
        <v/>
      </c>
      <c r="AC91" s="13" t="str">
        <f aca="false">IF(G91&lt;&gt;"",ROUND(G91*0.01,0),"")</f>
        <v/>
      </c>
      <c r="AD91" s="13" t="str">
        <f aca="false">IF(G91&lt;&gt;"",300,"")</f>
        <v/>
      </c>
      <c r="AE91" s="15"/>
      <c r="AF91" s="15"/>
      <c r="AG91" s="16"/>
      <c r="AH91" s="16"/>
      <c r="AI91" s="17" t="str">
        <f aca="false">IF(AND(AG91&lt;&gt;"",AH91&lt;&gt;""),(AG91+AH91)/2,"")</f>
        <v/>
      </c>
      <c r="AJ91" s="15"/>
      <c r="AK91" s="15"/>
    </row>
    <row r="92" customFormat="false" ht="15" hidden="false" customHeight="false" outlineLevel="0" collapsed="false">
      <c r="A92" s="2" t="str">
        <f aca="false">IF(E92&lt;&gt;"",ROW()-1,"")</f>
        <v/>
      </c>
      <c r="B92" s="3"/>
      <c r="C92" s="3"/>
      <c r="D92" s="3"/>
      <c r="E92" s="4"/>
      <c r="F92" s="4"/>
      <c r="G92" s="5"/>
      <c r="H92" s="4"/>
      <c r="I92" s="4"/>
      <c r="J92" s="4"/>
      <c r="K92" s="4"/>
      <c r="L92" s="6" t="str">
        <f aca="false">IF(AND(G92&lt;&gt;"",H92&gt;0),ROUND(G92/H92,0),"")</f>
        <v/>
      </c>
      <c r="M92" s="6" t="str">
        <f aca="false">IF(F92&lt;&gt;"",IFERROR(VLOOKUP(F92,TablaRef,2,FALSE()),"?"),"")</f>
        <v/>
      </c>
      <c r="N92" s="7" t="str">
        <f aca="false">IF(AND(L92&lt;&gt;"",M92&lt;&gt;"",ISNUMBER(M92)),IF(L92&lt;M92*(1-MargenPct),"🟢",IF(L92&gt;M92*(1+MargenPct),"🔴","🟡")),"")</f>
        <v/>
      </c>
      <c r="O92" s="8" t="str">
        <f aca="false">IF(G92&lt;&gt;"",W92+X92+Y92+Z92+AB92+AC92+AD92,"")</f>
        <v/>
      </c>
      <c r="P92" s="9" t="str">
        <f aca="false">IF(G92&lt;&gt;"",IF(O92&lt;=Presupuesto,"✓","✗"),"")</f>
        <v/>
      </c>
      <c r="Q92" s="10" t="str">
        <f aca="false">IF(G92&lt;&gt;"",Presupuesto-O92,"")</f>
        <v/>
      </c>
      <c r="R92" s="11"/>
      <c r="S92" s="11"/>
      <c r="T92" s="12"/>
      <c r="U92" s="12"/>
      <c r="V92" s="11"/>
      <c r="W92" s="13" t="str">
        <f aca="false">IF(G92&lt;&gt;"",MAX(G92-Credito,G92*0.1),"")</f>
        <v/>
      </c>
      <c r="X92" s="13" t="str">
        <f aca="false">IF(G92&lt;&gt;"",ROUND(G92*0.02*1.21,0),"")</f>
        <v/>
      </c>
      <c r="Y92" s="13" t="str">
        <f aca="false">IF(G92&lt;&gt;"",IF(G92&lt;=140000,0,ROUND(G92*0.0175,0)),"")</f>
        <v/>
      </c>
      <c r="Z92" s="13" t="str">
        <f aca="false">IF(G92&lt;&gt;"",ROUND(G92*0.004,0),"")</f>
        <v/>
      </c>
      <c r="AA92" s="14"/>
      <c r="AB92" s="13" t="str">
        <f aca="false">IF(G92&lt;&gt;"",IF(AA92="Sí",ROUND(G92*0.04*1.21,0),0),"")</f>
        <v/>
      </c>
      <c r="AC92" s="13" t="str">
        <f aca="false">IF(G92&lt;&gt;"",ROUND(G92*0.01,0),"")</f>
        <v/>
      </c>
      <c r="AD92" s="13" t="str">
        <f aca="false">IF(G92&lt;&gt;"",300,"")</f>
        <v/>
      </c>
      <c r="AE92" s="15"/>
      <c r="AF92" s="15"/>
      <c r="AG92" s="16"/>
      <c r="AH92" s="16"/>
      <c r="AI92" s="17" t="str">
        <f aca="false">IF(AND(AG92&lt;&gt;"",AH92&lt;&gt;""),(AG92+AH92)/2,"")</f>
        <v/>
      </c>
      <c r="AJ92" s="15"/>
      <c r="AK92" s="15"/>
    </row>
    <row r="93" customFormat="false" ht="15" hidden="false" customHeight="false" outlineLevel="0" collapsed="false">
      <c r="A93" s="2" t="str">
        <f aca="false">IF(E93&lt;&gt;"",ROW()-1,"")</f>
        <v/>
      </c>
      <c r="B93" s="3"/>
      <c r="C93" s="3"/>
      <c r="D93" s="3"/>
      <c r="E93" s="4"/>
      <c r="F93" s="4"/>
      <c r="G93" s="5"/>
      <c r="H93" s="4"/>
      <c r="I93" s="4"/>
      <c r="J93" s="4"/>
      <c r="K93" s="4"/>
      <c r="L93" s="6" t="str">
        <f aca="false">IF(AND(G93&lt;&gt;"",H93&gt;0),ROUND(G93/H93,0),"")</f>
        <v/>
      </c>
      <c r="M93" s="6" t="str">
        <f aca="false">IF(F93&lt;&gt;"",IFERROR(VLOOKUP(F93,TablaRef,2,FALSE()),"?"),"")</f>
        <v/>
      </c>
      <c r="N93" s="7" t="str">
        <f aca="false">IF(AND(L93&lt;&gt;"",M93&lt;&gt;"",ISNUMBER(M93)),IF(L93&lt;M93*(1-MargenPct),"🟢",IF(L93&gt;M93*(1+MargenPct),"🔴","🟡")),"")</f>
        <v/>
      </c>
      <c r="O93" s="8" t="str">
        <f aca="false">IF(G93&lt;&gt;"",W93+X93+Y93+Z93+AB93+AC93+AD93,"")</f>
        <v/>
      </c>
      <c r="P93" s="9" t="str">
        <f aca="false">IF(G93&lt;&gt;"",IF(O93&lt;=Presupuesto,"✓","✗"),"")</f>
        <v/>
      </c>
      <c r="Q93" s="10" t="str">
        <f aca="false">IF(G93&lt;&gt;"",Presupuesto-O93,"")</f>
        <v/>
      </c>
      <c r="R93" s="11"/>
      <c r="S93" s="11"/>
      <c r="T93" s="12"/>
      <c r="U93" s="12"/>
      <c r="V93" s="11"/>
      <c r="W93" s="13" t="str">
        <f aca="false">IF(G93&lt;&gt;"",MAX(G93-Credito,G93*0.1),"")</f>
        <v/>
      </c>
      <c r="X93" s="13" t="str">
        <f aca="false">IF(G93&lt;&gt;"",ROUND(G93*0.02*1.21,0),"")</f>
        <v/>
      </c>
      <c r="Y93" s="13" t="str">
        <f aca="false">IF(G93&lt;&gt;"",IF(G93&lt;=140000,0,ROUND(G93*0.0175,0)),"")</f>
        <v/>
      </c>
      <c r="Z93" s="13" t="str">
        <f aca="false">IF(G93&lt;&gt;"",ROUND(G93*0.004,0),"")</f>
        <v/>
      </c>
      <c r="AA93" s="14"/>
      <c r="AB93" s="13" t="str">
        <f aca="false">IF(G93&lt;&gt;"",IF(AA93="Sí",ROUND(G93*0.04*1.21,0),0),"")</f>
        <v/>
      </c>
      <c r="AC93" s="13" t="str">
        <f aca="false">IF(G93&lt;&gt;"",ROUND(G93*0.01,0),"")</f>
        <v/>
      </c>
      <c r="AD93" s="13" t="str">
        <f aca="false">IF(G93&lt;&gt;"",300,"")</f>
        <v/>
      </c>
      <c r="AE93" s="15"/>
      <c r="AF93" s="15"/>
      <c r="AG93" s="16"/>
      <c r="AH93" s="16"/>
      <c r="AI93" s="17" t="str">
        <f aca="false">IF(AND(AG93&lt;&gt;"",AH93&lt;&gt;""),(AG93+AH93)/2,"")</f>
        <v/>
      </c>
      <c r="AJ93" s="15"/>
      <c r="AK93" s="15"/>
    </row>
    <row r="94" customFormat="false" ht="15" hidden="false" customHeight="false" outlineLevel="0" collapsed="false">
      <c r="A94" s="2" t="str">
        <f aca="false">IF(E94&lt;&gt;"",ROW()-1,"")</f>
        <v/>
      </c>
      <c r="B94" s="3"/>
      <c r="C94" s="3"/>
      <c r="D94" s="3"/>
      <c r="E94" s="4"/>
      <c r="F94" s="4"/>
      <c r="G94" s="5"/>
      <c r="H94" s="4"/>
      <c r="I94" s="4"/>
      <c r="J94" s="4"/>
      <c r="K94" s="4"/>
      <c r="L94" s="6" t="str">
        <f aca="false">IF(AND(G94&lt;&gt;"",H94&gt;0),ROUND(G94/H94,0),"")</f>
        <v/>
      </c>
      <c r="M94" s="6" t="str">
        <f aca="false">IF(F94&lt;&gt;"",IFERROR(VLOOKUP(F94,TablaRef,2,FALSE()),"?"),"")</f>
        <v/>
      </c>
      <c r="N94" s="7" t="str">
        <f aca="false">IF(AND(L94&lt;&gt;"",M94&lt;&gt;"",ISNUMBER(M94)),IF(L94&lt;M94*(1-MargenPct),"🟢",IF(L94&gt;M94*(1+MargenPct),"🔴","🟡")),"")</f>
        <v/>
      </c>
      <c r="O94" s="8" t="str">
        <f aca="false">IF(G94&lt;&gt;"",W94+X94+Y94+Z94+AB94+AC94+AD94,"")</f>
        <v/>
      </c>
      <c r="P94" s="9" t="str">
        <f aca="false">IF(G94&lt;&gt;"",IF(O94&lt;=Presupuesto,"✓","✗"),"")</f>
        <v/>
      </c>
      <c r="Q94" s="10" t="str">
        <f aca="false">IF(G94&lt;&gt;"",Presupuesto-O94,"")</f>
        <v/>
      </c>
      <c r="R94" s="11"/>
      <c r="S94" s="11"/>
      <c r="T94" s="12"/>
      <c r="U94" s="12"/>
      <c r="V94" s="11"/>
      <c r="W94" s="13" t="str">
        <f aca="false">IF(G94&lt;&gt;"",MAX(G94-Credito,G94*0.1),"")</f>
        <v/>
      </c>
      <c r="X94" s="13" t="str">
        <f aca="false">IF(G94&lt;&gt;"",ROUND(G94*0.02*1.21,0),"")</f>
        <v/>
      </c>
      <c r="Y94" s="13" t="str">
        <f aca="false">IF(G94&lt;&gt;"",IF(G94&lt;=140000,0,ROUND(G94*0.0175,0)),"")</f>
        <v/>
      </c>
      <c r="Z94" s="13" t="str">
        <f aca="false">IF(G94&lt;&gt;"",ROUND(G94*0.004,0),"")</f>
        <v/>
      </c>
      <c r="AA94" s="14"/>
      <c r="AB94" s="13" t="str">
        <f aca="false">IF(G94&lt;&gt;"",IF(AA94="Sí",ROUND(G94*0.04*1.21,0),0),"")</f>
        <v/>
      </c>
      <c r="AC94" s="13" t="str">
        <f aca="false">IF(G94&lt;&gt;"",ROUND(G94*0.01,0),"")</f>
        <v/>
      </c>
      <c r="AD94" s="13" t="str">
        <f aca="false">IF(G94&lt;&gt;"",300,"")</f>
        <v/>
      </c>
      <c r="AE94" s="15"/>
      <c r="AF94" s="15"/>
      <c r="AG94" s="16"/>
      <c r="AH94" s="16"/>
      <c r="AI94" s="17" t="str">
        <f aca="false">IF(AND(AG94&lt;&gt;"",AH94&lt;&gt;""),(AG94+AH94)/2,"")</f>
        <v/>
      </c>
      <c r="AJ94" s="15"/>
      <c r="AK94" s="15"/>
    </row>
    <row r="95" customFormat="false" ht="15" hidden="false" customHeight="false" outlineLevel="0" collapsed="false">
      <c r="A95" s="2" t="str">
        <f aca="false">IF(E95&lt;&gt;"",ROW()-1,"")</f>
        <v/>
      </c>
      <c r="B95" s="3"/>
      <c r="C95" s="3"/>
      <c r="D95" s="3"/>
      <c r="E95" s="4"/>
      <c r="F95" s="4"/>
      <c r="G95" s="5"/>
      <c r="H95" s="4"/>
      <c r="I95" s="4"/>
      <c r="J95" s="4"/>
      <c r="K95" s="4"/>
      <c r="L95" s="6" t="str">
        <f aca="false">IF(AND(G95&lt;&gt;"",H95&gt;0),ROUND(G95/H95,0),"")</f>
        <v/>
      </c>
      <c r="M95" s="6" t="str">
        <f aca="false">IF(F95&lt;&gt;"",IFERROR(VLOOKUP(F95,TablaRef,2,FALSE()),"?"),"")</f>
        <v/>
      </c>
      <c r="N95" s="7" t="str">
        <f aca="false">IF(AND(L95&lt;&gt;"",M95&lt;&gt;"",ISNUMBER(M95)),IF(L95&lt;M95*(1-MargenPct),"🟢",IF(L95&gt;M95*(1+MargenPct),"🔴","🟡")),"")</f>
        <v/>
      </c>
      <c r="O95" s="8" t="str">
        <f aca="false">IF(G95&lt;&gt;"",W95+X95+Y95+Z95+AB95+AC95+AD95,"")</f>
        <v/>
      </c>
      <c r="P95" s="9" t="str">
        <f aca="false">IF(G95&lt;&gt;"",IF(O95&lt;=Presupuesto,"✓","✗"),"")</f>
        <v/>
      </c>
      <c r="Q95" s="10" t="str">
        <f aca="false">IF(G95&lt;&gt;"",Presupuesto-O95,"")</f>
        <v/>
      </c>
      <c r="R95" s="11"/>
      <c r="S95" s="11"/>
      <c r="T95" s="12"/>
      <c r="U95" s="12"/>
      <c r="V95" s="11"/>
      <c r="W95" s="13" t="str">
        <f aca="false">IF(G95&lt;&gt;"",MAX(G95-Credito,G95*0.1),"")</f>
        <v/>
      </c>
      <c r="X95" s="13" t="str">
        <f aca="false">IF(G95&lt;&gt;"",ROUND(G95*0.02*1.21,0),"")</f>
        <v/>
      </c>
      <c r="Y95" s="13" t="str">
        <f aca="false">IF(G95&lt;&gt;"",IF(G95&lt;=140000,0,ROUND(G95*0.0175,0)),"")</f>
        <v/>
      </c>
      <c r="Z95" s="13" t="str">
        <f aca="false">IF(G95&lt;&gt;"",ROUND(G95*0.004,0),"")</f>
        <v/>
      </c>
      <c r="AA95" s="14"/>
      <c r="AB95" s="13" t="str">
        <f aca="false">IF(G95&lt;&gt;"",IF(AA95="Sí",ROUND(G95*0.04*1.21,0),0),"")</f>
        <v/>
      </c>
      <c r="AC95" s="13" t="str">
        <f aca="false">IF(G95&lt;&gt;"",ROUND(G95*0.01,0),"")</f>
        <v/>
      </c>
      <c r="AD95" s="13" t="str">
        <f aca="false">IF(G95&lt;&gt;"",300,"")</f>
        <v/>
      </c>
      <c r="AE95" s="15"/>
      <c r="AF95" s="15"/>
      <c r="AG95" s="16"/>
      <c r="AH95" s="16"/>
      <c r="AI95" s="17" t="str">
        <f aca="false">IF(AND(AG95&lt;&gt;"",AH95&lt;&gt;""),(AG95+AH95)/2,"")</f>
        <v/>
      </c>
      <c r="AJ95" s="15"/>
      <c r="AK95" s="15"/>
    </row>
    <row r="96" customFormat="false" ht="15" hidden="false" customHeight="false" outlineLevel="0" collapsed="false">
      <c r="A96" s="2" t="str">
        <f aca="false">IF(E96&lt;&gt;"",ROW()-1,"")</f>
        <v/>
      </c>
      <c r="B96" s="3"/>
      <c r="C96" s="3"/>
      <c r="D96" s="3"/>
      <c r="E96" s="4"/>
      <c r="F96" s="4"/>
      <c r="G96" s="5"/>
      <c r="H96" s="4"/>
      <c r="I96" s="4"/>
      <c r="J96" s="4"/>
      <c r="K96" s="4"/>
      <c r="L96" s="6" t="str">
        <f aca="false">IF(AND(G96&lt;&gt;"",H96&gt;0),ROUND(G96/H96,0),"")</f>
        <v/>
      </c>
      <c r="M96" s="6" t="str">
        <f aca="false">IF(F96&lt;&gt;"",IFERROR(VLOOKUP(F96,TablaRef,2,FALSE()),"?"),"")</f>
        <v/>
      </c>
      <c r="N96" s="7" t="str">
        <f aca="false">IF(AND(L96&lt;&gt;"",M96&lt;&gt;"",ISNUMBER(M96)),IF(L96&lt;M96*(1-MargenPct),"🟢",IF(L96&gt;M96*(1+MargenPct),"🔴","🟡")),"")</f>
        <v/>
      </c>
      <c r="O96" s="8" t="str">
        <f aca="false">IF(G96&lt;&gt;"",W96+X96+Y96+Z96+AB96+AC96+AD96,"")</f>
        <v/>
      </c>
      <c r="P96" s="9" t="str">
        <f aca="false">IF(G96&lt;&gt;"",IF(O96&lt;=Presupuesto,"✓","✗"),"")</f>
        <v/>
      </c>
      <c r="Q96" s="10" t="str">
        <f aca="false">IF(G96&lt;&gt;"",Presupuesto-O96,"")</f>
        <v/>
      </c>
      <c r="R96" s="11"/>
      <c r="S96" s="11"/>
      <c r="T96" s="12"/>
      <c r="U96" s="12"/>
      <c r="V96" s="11"/>
      <c r="W96" s="13" t="str">
        <f aca="false">IF(G96&lt;&gt;"",MAX(G96-Credito,G96*0.1),"")</f>
        <v/>
      </c>
      <c r="X96" s="13" t="str">
        <f aca="false">IF(G96&lt;&gt;"",ROUND(G96*0.02*1.21,0),"")</f>
        <v/>
      </c>
      <c r="Y96" s="13" t="str">
        <f aca="false">IF(G96&lt;&gt;"",IF(G96&lt;=140000,0,ROUND(G96*0.0175,0)),"")</f>
        <v/>
      </c>
      <c r="Z96" s="13" t="str">
        <f aca="false">IF(G96&lt;&gt;"",ROUND(G96*0.004,0),"")</f>
        <v/>
      </c>
      <c r="AA96" s="14"/>
      <c r="AB96" s="13" t="str">
        <f aca="false">IF(G96&lt;&gt;"",IF(AA96="Sí",ROUND(G96*0.04*1.21,0),0),"")</f>
        <v/>
      </c>
      <c r="AC96" s="13" t="str">
        <f aca="false">IF(G96&lt;&gt;"",ROUND(G96*0.01,0),"")</f>
        <v/>
      </c>
      <c r="AD96" s="13" t="str">
        <f aca="false">IF(G96&lt;&gt;"",300,"")</f>
        <v/>
      </c>
      <c r="AE96" s="15"/>
      <c r="AF96" s="15"/>
      <c r="AG96" s="16"/>
      <c r="AH96" s="16"/>
      <c r="AI96" s="17" t="str">
        <f aca="false">IF(AND(AG96&lt;&gt;"",AH96&lt;&gt;""),(AG96+AH96)/2,"")</f>
        <v/>
      </c>
      <c r="AJ96" s="15"/>
      <c r="AK96" s="15"/>
    </row>
    <row r="97" customFormat="false" ht="15" hidden="false" customHeight="false" outlineLevel="0" collapsed="false">
      <c r="A97" s="2" t="str">
        <f aca="false">IF(E97&lt;&gt;"",ROW()-1,"")</f>
        <v/>
      </c>
      <c r="B97" s="3"/>
      <c r="C97" s="3"/>
      <c r="D97" s="3"/>
      <c r="E97" s="4"/>
      <c r="F97" s="4"/>
      <c r="G97" s="5"/>
      <c r="H97" s="4"/>
      <c r="I97" s="4"/>
      <c r="J97" s="4"/>
      <c r="K97" s="4"/>
      <c r="L97" s="6" t="str">
        <f aca="false">IF(AND(G97&lt;&gt;"",H97&gt;0),ROUND(G97/H97,0),"")</f>
        <v/>
      </c>
      <c r="M97" s="6" t="str">
        <f aca="false">IF(F97&lt;&gt;"",IFERROR(VLOOKUP(F97,TablaRef,2,FALSE()),"?"),"")</f>
        <v/>
      </c>
      <c r="N97" s="7" t="str">
        <f aca="false">IF(AND(L97&lt;&gt;"",M97&lt;&gt;"",ISNUMBER(M97)),IF(L97&lt;M97*(1-MargenPct),"🟢",IF(L97&gt;M97*(1+MargenPct),"🔴","🟡")),"")</f>
        <v/>
      </c>
      <c r="O97" s="8" t="str">
        <f aca="false">IF(G97&lt;&gt;"",W97+X97+Y97+Z97+AB97+AC97+AD97,"")</f>
        <v/>
      </c>
      <c r="P97" s="9" t="str">
        <f aca="false">IF(G97&lt;&gt;"",IF(O97&lt;=Presupuesto,"✓","✗"),"")</f>
        <v/>
      </c>
      <c r="Q97" s="10" t="str">
        <f aca="false">IF(G97&lt;&gt;"",Presupuesto-O97,"")</f>
        <v/>
      </c>
      <c r="R97" s="11"/>
      <c r="S97" s="11"/>
      <c r="T97" s="12"/>
      <c r="U97" s="12"/>
      <c r="V97" s="11"/>
      <c r="W97" s="13" t="str">
        <f aca="false">IF(G97&lt;&gt;"",MAX(G97-Credito,G97*0.1),"")</f>
        <v/>
      </c>
      <c r="X97" s="13" t="str">
        <f aca="false">IF(G97&lt;&gt;"",ROUND(G97*0.02*1.21,0),"")</f>
        <v/>
      </c>
      <c r="Y97" s="13" t="str">
        <f aca="false">IF(G97&lt;&gt;"",IF(G97&lt;=140000,0,ROUND(G97*0.0175,0)),"")</f>
        <v/>
      </c>
      <c r="Z97" s="13" t="str">
        <f aca="false">IF(G97&lt;&gt;"",ROUND(G97*0.004,0),"")</f>
        <v/>
      </c>
      <c r="AA97" s="14"/>
      <c r="AB97" s="13" t="str">
        <f aca="false">IF(G97&lt;&gt;"",IF(AA97="Sí",ROUND(G97*0.04*1.21,0),0),"")</f>
        <v/>
      </c>
      <c r="AC97" s="13" t="str">
        <f aca="false">IF(G97&lt;&gt;"",ROUND(G97*0.01,0),"")</f>
        <v/>
      </c>
      <c r="AD97" s="13" t="str">
        <f aca="false">IF(G97&lt;&gt;"",300,"")</f>
        <v/>
      </c>
      <c r="AE97" s="15"/>
      <c r="AF97" s="15"/>
      <c r="AG97" s="16"/>
      <c r="AH97" s="16"/>
      <c r="AI97" s="17" t="str">
        <f aca="false">IF(AND(AG97&lt;&gt;"",AH97&lt;&gt;""),(AG97+AH97)/2,"")</f>
        <v/>
      </c>
      <c r="AJ97" s="15"/>
      <c r="AK97" s="15"/>
    </row>
    <row r="98" customFormat="false" ht="15" hidden="false" customHeight="false" outlineLevel="0" collapsed="false">
      <c r="A98" s="2" t="str">
        <f aca="false">IF(E98&lt;&gt;"",ROW()-1,"")</f>
        <v/>
      </c>
      <c r="B98" s="3"/>
      <c r="C98" s="3"/>
      <c r="D98" s="3"/>
      <c r="E98" s="4"/>
      <c r="F98" s="4"/>
      <c r="G98" s="5"/>
      <c r="H98" s="4"/>
      <c r="I98" s="4"/>
      <c r="J98" s="4"/>
      <c r="K98" s="4"/>
      <c r="L98" s="6" t="str">
        <f aca="false">IF(AND(G98&lt;&gt;"",H98&gt;0),ROUND(G98/H98,0),"")</f>
        <v/>
      </c>
      <c r="M98" s="6" t="str">
        <f aca="false">IF(F98&lt;&gt;"",IFERROR(VLOOKUP(F98,TablaRef,2,FALSE()),"?"),"")</f>
        <v/>
      </c>
      <c r="N98" s="7" t="str">
        <f aca="false">IF(AND(L98&lt;&gt;"",M98&lt;&gt;"",ISNUMBER(M98)),IF(L98&lt;M98*(1-MargenPct),"🟢",IF(L98&gt;M98*(1+MargenPct),"🔴","🟡")),"")</f>
        <v/>
      </c>
      <c r="O98" s="8" t="str">
        <f aca="false">IF(G98&lt;&gt;"",W98+X98+Y98+Z98+AB98+AC98+AD98,"")</f>
        <v/>
      </c>
      <c r="P98" s="9" t="str">
        <f aca="false">IF(G98&lt;&gt;"",IF(O98&lt;=Presupuesto,"✓","✗"),"")</f>
        <v/>
      </c>
      <c r="Q98" s="10" t="str">
        <f aca="false">IF(G98&lt;&gt;"",Presupuesto-O98,"")</f>
        <v/>
      </c>
      <c r="R98" s="11"/>
      <c r="S98" s="11"/>
      <c r="T98" s="12"/>
      <c r="U98" s="12"/>
      <c r="V98" s="11"/>
      <c r="W98" s="13" t="str">
        <f aca="false">IF(G98&lt;&gt;"",MAX(G98-Credito,G98*0.1),"")</f>
        <v/>
      </c>
      <c r="X98" s="13" t="str">
        <f aca="false">IF(G98&lt;&gt;"",ROUND(G98*0.02*1.21,0),"")</f>
        <v/>
      </c>
      <c r="Y98" s="13" t="str">
        <f aca="false">IF(G98&lt;&gt;"",IF(G98&lt;=140000,0,ROUND(G98*0.0175,0)),"")</f>
        <v/>
      </c>
      <c r="Z98" s="13" t="str">
        <f aca="false">IF(G98&lt;&gt;"",ROUND(G98*0.004,0),"")</f>
        <v/>
      </c>
      <c r="AA98" s="14"/>
      <c r="AB98" s="13" t="str">
        <f aca="false">IF(G98&lt;&gt;"",IF(AA98="Sí",ROUND(G98*0.04*1.21,0),0),"")</f>
        <v/>
      </c>
      <c r="AC98" s="13" t="str">
        <f aca="false">IF(G98&lt;&gt;"",ROUND(G98*0.01,0),"")</f>
        <v/>
      </c>
      <c r="AD98" s="13" t="str">
        <f aca="false">IF(G98&lt;&gt;"",300,"")</f>
        <v/>
      </c>
      <c r="AE98" s="15"/>
      <c r="AF98" s="15"/>
      <c r="AG98" s="16"/>
      <c r="AH98" s="16"/>
      <c r="AI98" s="17" t="str">
        <f aca="false">IF(AND(AG98&lt;&gt;"",AH98&lt;&gt;""),(AG98+AH98)/2,"")</f>
        <v/>
      </c>
      <c r="AJ98" s="15"/>
      <c r="AK98" s="15"/>
    </row>
    <row r="99" customFormat="false" ht="15" hidden="false" customHeight="false" outlineLevel="0" collapsed="false">
      <c r="A99" s="2" t="str">
        <f aca="false">IF(E99&lt;&gt;"",ROW()-1,"")</f>
        <v/>
      </c>
      <c r="B99" s="3"/>
      <c r="C99" s="3"/>
      <c r="D99" s="3"/>
      <c r="E99" s="4"/>
      <c r="F99" s="4"/>
      <c r="G99" s="5"/>
      <c r="H99" s="4"/>
      <c r="I99" s="4"/>
      <c r="J99" s="4"/>
      <c r="K99" s="4"/>
      <c r="L99" s="6" t="str">
        <f aca="false">IF(AND(G99&lt;&gt;"",H99&gt;0),ROUND(G99/H99,0),"")</f>
        <v/>
      </c>
      <c r="M99" s="6" t="str">
        <f aca="false">IF(F99&lt;&gt;"",IFERROR(VLOOKUP(F99,TablaRef,2,FALSE()),"?"),"")</f>
        <v/>
      </c>
      <c r="N99" s="7" t="str">
        <f aca="false">IF(AND(L99&lt;&gt;"",M99&lt;&gt;"",ISNUMBER(M99)),IF(L99&lt;M99*(1-MargenPct),"🟢",IF(L99&gt;M99*(1+MargenPct),"🔴","🟡")),"")</f>
        <v/>
      </c>
      <c r="O99" s="8" t="str">
        <f aca="false">IF(G99&lt;&gt;"",W99+X99+Y99+Z99+AB99+AC99+AD99,"")</f>
        <v/>
      </c>
      <c r="P99" s="9" t="str">
        <f aca="false">IF(G99&lt;&gt;"",IF(O99&lt;=Presupuesto,"✓","✗"),"")</f>
        <v/>
      </c>
      <c r="Q99" s="10" t="str">
        <f aca="false">IF(G99&lt;&gt;"",Presupuesto-O99,"")</f>
        <v/>
      </c>
      <c r="R99" s="11"/>
      <c r="S99" s="11"/>
      <c r="T99" s="12"/>
      <c r="U99" s="12"/>
      <c r="V99" s="11"/>
      <c r="W99" s="13" t="str">
        <f aca="false">IF(G99&lt;&gt;"",MAX(G99-Credito,G99*0.1),"")</f>
        <v/>
      </c>
      <c r="X99" s="13" t="str">
        <f aca="false">IF(G99&lt;&gt;"",ROUND(G99*0.02*1.21,0),"")</f>
        <v/>
      </c>
      <c r="Y99" s="13" t="str">
        <f aca="false">IF(G99&lt;&gt;"",IF(G99&lt;=140000,0,ROUND(G99*0.0175,0)),"")</f>
        <v/>
      </c>
      <c r="Z99" s="13" t="str">
        <f aca="false">IF(G99&lt;&gt;"",ROUND(G99*0.004,0),"")</f>
        <v/>
      </c>
      <c r="AA99" s="14"/>
      <c r="AB99" s="13" t="str">
        <f aca="false">IF(G99&lt;&gt;"",IF(AA99="Sí",ROUND(G99*0.04*1.21,0),0),"")</f>
        <v/>
      </c>
      <c r="AC99" s="13" t="str">
        <f aca="false">IF(G99&lt;&gt;"",ROUND(G99*0.01,0),"")</f>
        <v/>
      </c>
      <c r="AD99" s="13" t="str">
        <f aca="false">IF(G99&lt;&gt;"",300,"")</f>
        <v/>
      </c>
      <c r="AE99" s="15"/>
      <c r="AF99" s="15"/>
      <c r="AG99" s="16"/>
      <c r="AH99" s="16"/>
      <c r="AI99" s="17" t="str">
        <f aca="false">IF(AND(AG99&lt;&gt;"",AH99&lt;&gt;""),(AG99+AH99)/2,"")</f>
        <v/>
      </c>
      <c r="AJ99" s="15"/>
      <c r="AK99" s="15"/>
    </row>
    <row r="100" customFormat="false" ht="15" hidden="false" customHeight="false" outlineLevel="0" collapsed="false">
      <c r="A100" s="2" t="str">
        <f aca="false">IF(E100&lt;&gt;"",ROW()-1,"")</f>
        <v/>
      </c>
      <c r="B100" s="3"/>
      <c r="C100" s="3"/>
      <c r="D100" s="3"/>
      <c r="E100" s="4"/>
      <c r="F100" s="4"/>
      <c r="G100" s="5"/>
      <c r="H100" s="4"/>
      <c r="I100" s="4"/>
      <c r="J100" s="4"/>
      <c r="K100" s="4"/>
      <c r="L100" s="6" t="str">
        <f aca="false">IF(AND(G100&lt;&gt;"",H100&gt;0),ROUND(G100/H100,0),"")</f>
        <v/>
      </c>
      <c r="M100" s="6" t="str">
        <f aca="false">IF(F100&lt;&gt;"",IFERROR(VLOOKUP(F100,TablaRef,2,FALSE()),"?"),"")</f>
        <v/>
      </c>
      <c r="N100" s="7" t="str">
        <f aca="false">IF(AND(L100&lt;&gt;"",M100&lt;&gt;"",ISNUMBER(M100)),IF(L100&lt;M100*(1-MargenPct),"🟢",IF(L100&gt;M100*(1+MargenPct),"🔴","🟡")),"")</f>
        <v/>
      </c>
      <c r="O100" s="8" t="str">
        <f aca="false">IF(G100&lt;&gt;"",W100+X100+Y100+Z100+AB100+AC100+AD100,"")</f>
        <v/>
      </c>
      <c r="P100" s="9" t="str">
        <f aca="false">IF(G100&lt;&gt;"",IF(O100&lt;=Presupuesto,"✓","✗"),"")</f>
        <v/>
      </c>
      <c r="Q100" s="10" t="str">
        <f aca="false">IF(G100&lt;&gt;"",Presupuesto-O100,"")</f>
        <v/>
      </c>
      <c r="R100" s="11"/>
      <c r="S100" s="11"/>
      <c r="T100" s="12"/>
      <c r="U100" s="12"/>
      <c r="V100" s="11"/>
      <c r="W100" s="13" t="str">
        <f aca="false">IF(G100&lt;&gt;"",MAX(G100-Credito,G100*0.1),"")</f>
        <v/>
      </c>
      <c r="X100" s="13" t="str">
        <f aca="false">IF(G100&lt;&gt;"",ROUND(G100*0.02*1.21,0),"")</f>
        <v/>
      </c>
      <c r="Y100" s="13" t="str">
        <f aca="false">IF(G100&lt;&gt;"",IF(G100&lt;=140000,0,ROUND(G100*0.0175,0)),"")</f>
        <v/>
      </c>
      <c r="Z100" s="13" t="str">
        <f aca="false">IF(G100&lt;&gt;"",ROUND(G100*0.004,0),"")</f>
        <v/>
      </c>
      <c r="AA100" s="14"/>
      <c r="AB100" s="13" t="str">
        <f aca="false">IF(G100&lt;&gt;"",IF(AA100="Sí",ROUND(G100*0.04*1.21,0),0),"")</f>
        <v/>
      </c>
      <c r="AC100" s="13" t="str">
        <f aca="false">IF(G100&lt;&gt;"",ROUND(G100*0.01,0),"")</f>
        <v/>
      </c>
      <c r="AD100" s="13" t="str">
        <f aca="false">IF(G100&lt;&gt;"",300,"")</f>
        <v/>
      </c>
      <c r="AE100" s="15"/>
      <c r="AF100" s="15"/>
      <c r="AG100" s="16"/>
      <c r="AH100" s="16"/>
      <c r="AI100" s="17" t="str">
        <f aca="false">IF(AND(AG100&lt;&gt;"",AH100&lt;&gt;""),(AG100+AH100)/2,"")</f>
        <v/>
      </c>
      <c r="AJ100" s="15"/>
      <c r="AK100" s="15"/>
    </row>
    <row r="101" customFormat="false" ht="15" hidden="false" customHeight="false" outlineLevel="0" collapsed="false">
      <c r="A101" s="2" t="str">
        <f aca="false">IF(E101&lt;&gt;"",ROW()-1,"")</f>
        <v/>
      </c>
      <c r="B101" s="3"/>
      <c r="C101" s="3"/>
      <c r="D101" s="3"/>
      <c r="E101" s="4"/>
      <c r="F101" s="4"/>
      <c r="G101" s="5"/>
      <c r="H101" s="4"/>
      <c r="I101" s="4"/>
      <c r="J101" s="4"/>
      <c r="K101" s="4"/>
      <c r="L101" s="6" t="str">
        <f aca="false">IF(AND(G101&lt;&gt;"",H101&gt;0),ROUND(G101/H101,0),"")</f>
        <v/>
      </c>
      <c r="M101" s="6" t="str">
        <f aca="false">IF(F101&lt;&gt;"",IFERROR(VLOOKUP(F101,TablaRef,2,FALSE()),"?"),"")</f>
        <v/>
      </c>
      <c r="N101" s="7" t="str">
        <f aca="false">IF(AND(L101&lt;&gt;"",M101&lt;&gt;"",ISNUMBER(M101)),IF(L101&lt;M101*(1-MargenPct),"🟢",IF(L101&gt;M101*(1+MargenPct),"🔴","🟡")),"")</f>
        <v/>
      </c>
      <c r="O101" s="8" t="str">
        <f aca="false">IF(G101&lt;&gt;"",W101+X101+Y101+Z101+AB101+AC101+AD101,"")</f>
        <v/>
      </c>
      <c r="P101" s="9" t="str">
        <f aca="false">IF(G101&lt;&gt;"",IF(O101&lt;=Presupuesto,"✓","✗"),"")</f>
        <v/>
      </c>
      <c r="Q101" s="10" t="str">
        <f aca="false">IF(G101&lt;&gt;"",Presupuesto-O101,"")</f>
        <v/>
      </c>
      <c r="R101" s="11"/>
      <c r="S101" s="11"/>
      <c r="T101" s="12"/>
      <c r="U101" s="12"/>
      <c r="V101" s="11"/>
      <c r="W101" s="13" t="str">
        <f aca="false">IF(G101&lt;&gt;"",MAX(G101-Credito,G101*0.1),"")</f>
        <v/>
      </c>
      <c r="X101" s="13" t="str">
        <f aca="false">IF(G101&lt;&gt;"",ROUND(G101*0.02*1.21,0),"")</f>
        <v/>
      </c>
      <c r="Y101" s="13" t="str">
        <f aca="false">IF(G101&lt;&gt;"",IF(G101&lt;=140000,0,ROUND(G101*0.0175,0)),"")</f>
        <v/>
      </c>
      <c r="Z101" s="13" t="str">
        <f aca="false">IF(G101&lt;&gt;"",ROUND(G101*0.004,0),"")</f>
        <v/>
      </c>
      <c r="AA101" s="14"/>
      <c r="AB101" s="13" t="str">
        <f aca="false">IF(G101&lt;&gt;"",IF(AA101="Sí",ROUND(G101*0.04*1.21,0),0),"")</f>
        <v/>
      </c>
      <c r="AC101" s="13" t="str">
        <f aca="false">IF(G101&lt;&gt;"",ROUND(G101*0.01,0),"")</f>
        <v/>
      </c>
      <c r="AD101" s="13" t="str">
        <f aca="false">IF(G101&lt;&gt;"",300,"")</f>
        <v/>
      </c>
      <c r="AE101" s="15"/>
      <c r="AF101" s="15"/>
      <c r="AG101" s="16"/>
      <c r="AH101" s="16"/>
      <c r="AI101" s="17" t="str">
        <f aca="false">IF(AND(AG101&lt;&gt;"",AH101&lt;&gt;""),(AG101+AH101)/2,"")</f>
        <v/>
      </c>
      <c r="AJ101" s="15"/>
      <c r="AK101" s="15"/>
    </row>
    <row r="102" customFormat="false" ht="15" hidden="false" customHeight="false" outlineLevel="0" collapsed="false">
      <c r="A102" s="2" t="str">
        <f aca="false">IF(E102&lt;&gt;"",ROW()-1,"")</f>
        <v/>
      </c>
      <c r="B102" s="3"/>
      <c r="C102" s="3"/>
      <c r="D102" s="3"/>
      <c r="E102" s="4"/>
      <c r="F102" s="4"/>
      <c r="G102" s="5"/>
      <c r="H102" s="4"/>
      <c r="I102" s="4"/>
      <c r="J102" s="4"/>
      <c r="K102" s="4"/>
      <c r="L102" s="6" t="str">
        <f aca="false">IF(AND(G102&lt;&gt;"",H102&gt;0),ROUND(G102/H102,0),"")</f>
        <v/>
      </c>
      <c r="M102" s="6" t="str">
        <f aca="false">IF(F102&lt;&gt;"",IFERROR(VLOOKUP(F102,TablaRef,2,FALSE()),"?"),"")</f>
        <v/>
      </c>
      <c r="N102" s="7" t="str">
        <f aca="false">IF(AND(L102&lt;&gt;"",M102&lt;&gt;"",ISNUMBER(M102)),IF(L102&lt;M102*(1-MargenPct),"🟢",IF(L102&gt;M102*(1+MargenPct),"🔴","🟡")),"")</f>
        <v/>
      </c>
      <c r="O102" s="8" t="str">
        <f aca="false">IF(G102&lt;&gt;"",W102+X102+Y102+Z102+AB102+AC102+AD102,"")</f>
        <v/>
      </c>
      <c r="P102" s="9" t="str">
        <f aca="false">IF(G102&lt;&gt;"",IF(O102&lt;=Presupuesto,"✓","✗"),"")</f>
        <v/>
      </c>
      <c r="Q102" s="10" t="str">
        <f aca="false">IF(G102&lt;&gt;"",Presupuesto-O102,"")</f>
        <v/>
      </c>
      <c r="R102" s="11"/>
      <c r="S102" s="11"/>
      <c r="T102" s="12"/>
      <c r="U102" s="12"/>
      <c r="V102" s="11"/>
      <c r="W102" s="13" t="str">
        <f aca="false">IF(G102&lt;&gt;"",MAX(G102-Credito,G102*0.1),"")</f>
        <v/>
      </c>
      <c r="X102" s="13" t="str">
        <f aca="false">IF(G102&lt;&gt;"",ROUND(G102*0.02*1.21,0),"")</f>
        <v/>
      </c>
      <c r="Y102" s="13" t="str">
        <f aca="false">IF(G102&lt;&gt;"",IF(G102&lt;=140000,0,ROUND(G102*0.0175,0)),"")</f>
        <v/>
      </c>
      <c r="Z102" s="13" t="str">
        <f aca="false">IF(G102&lt;&gt;"",ROUND(G102*0.004,0),"")</f>
        <v/>
      </c>
      <c r="AA102" s="14"/>
      <c r="AB102" s="13" t="str">
        <f aca="false">IF(G102&lt;&gt;"",IF(AA102="Sí",ROUND(G102*0.04*1.21,0),0),"")</f>
        <v/>
      </c>
      <c r="AC102" s="13" t="str">
        <f aca="false">IF(G102&lt;&gt;"",ROUND(G102*0.01,0),"")</f>
        <v/>
      </c>
      <c r="AD102" s="13" t="str">
        <f aca="false">IF(G102&lt;&gt;"",300,"")</f>
        <v/>
      </c>
      <c r="AE102" s="15"/>
      <c r="AF102" s="15"/>
      <c r="AG102" s="16"/>
      <c r="AH102" s="16"/>
      <c r="AI102" s="17" t="str">
        <f aca="false">IF(AND(AG102&lt;&gt;"",AH102&lt;&gt;""),(AG102+AH102)/2,"")</f>
        <v/>
      </c>
      <c r="AJ102" s="15"/>
      <c r="AK102" s="15"/>
    </row>
    <row r="103" customFormat="false" ht="15" hidden="false" customHeight="false" outlineLevel="0" collapsed="false">
      <c r="A103" s="2" t="str">
        <f aca="false">IF(E103&lt;&gt;"",ROW()-1,"")</f>
        <v/>
      </c>
      <c r="B103" s="3"/>
      <c r="C103" s="3"/>
      <c r="D103" s="3"/>
      <c r="E103" s="4"/>
      <c r="F103" s="4"/>
      <c r="G103" s="5"/>
      <c r="H103" s="4"/>
      <c r="I103" s="4"/>
      <c r="J103" s="4"/>
      <c r="K103" s="4"/>
      <c r="L103" s="6" t="str">
        <f aca="false">IF(AND(G103&lt;&gt;"",H103&gt;0),ROUND(G103/H103,0),"")</f>
        <v/>
      </c>
      <c r="M103" s="6" t="str">
        <f aca="false">IF(F103&lt;&gt;"",IFERROR(VLOOKUP(F103,TablaRef,2,FALSE()),"?"),"")</f>
        <v/>
      </c>
      <c r="N103" s="7" t="str">
        <f aca="false">IF(AND(L103&lt;&gt;"",M103&lt;&gt;"",ISNUMBER(M103)),IF(L103&lt;M103*(1-MargenPct),"🟢",IF(L103&gt;M103*(1+MargenPct),"🔴","🟡")),"")</f>
        <v/>
      </c>
      <c r="O103" s="8" t="str">
        <f aca="false">IF(G103&lt;&gt;"",W103+X103+Y103+Z103+AB103+AC103+AD103,"")</f>
        <v/>
      </c>
      <c r="P103" s="9" t="str">
        <f aca="false">IF(G103&lt;&gt;"",IF(O103&lt;=Presupuesto,"✓","✗"),"")</f>
        <v/>
      </c>
      <c r="Q103" s="10" t="str">
        <f aca="false">IF(G103&lt;&gt;"",Presupuesto-O103,"")</f>
        <v/>
      </c>
      <c r="R103" s="11"/>
      <c r="S103" s="11"/>
      <c r="T103" s="12"/>
      <c r="U103" s="12"/>
      <c r="V103" s="11"/>
      <c r="W103" s="13" t="str">
        <f aca="false">IF(G103&lt;&gt;"",MAX(G103-Credito,G103*0.1),"")</f>
        <v/>
      </c>
      <c r="X103" s="13" t="str">
        <f aca="false">IF(G103&lt;&gt;"",ROUND(G103*0.02*1.21,0),"")</f>
        <v/>
      </c>
      <c r="Y103" s="13" t="str">
        <f aca="false">IF(G103&lt;&gt;"",IF(G103&lt;=140000,0,ROUND(G103*0.0175,0)),"")</f>
        <v/>
      </c>
      <c r="Z103" s="13" t="str">
        <f aca="false">IF(G103&lt;&gt;"",ROUND(G103*0.004,0),"")</f>
        <v/>
      </c>
      <c r="AA103" s="14"/>
      <c r="AB103" s="13" t="str">
        <f aca="false">IF(G103&lt;&gt;"",IF(AA103="Sí",ROUND(G103*0.04*1.21,0),0),"")</f>
        <v/>
      </c>
      <c r="AC103" s="13" t="str">
        <f aca="false">IF(G103&lt;&gt;"",ROUND(G103*0.01,0),"")</f>
        <v/>
      </c>
      <c r="AD103" s="13" t="str">
        <f aca="false">IF(G103&lt;&gt;"",300,"")</f>
        <v/>
      </c>
      <c r="AE103" s="15"/>
      <c r="AF103" s="15"/>
      <c r="AG103" s="16"/>
      <c r="AH103" s="16"/>
      <c r="AI103" s="17" t="str">
        <f aca="false">IF(AND(AG103&lt;&gt;"",AH103&lt;&gt;""),(AG103+AH103)/2,"")</f>
        <v/>
      </c>
      <c r="AJ103" s="15"/>
      <c r="AK103" s="15"/>
    </row>
    <row r="104" customFormat="false" ht="15" hidden="false" customHeight="false" outlineLevel="0" collapsed="false">
      <c r="A104" s="2" t="str">
        <f aca="false">IF(E104&lt;&gt;"",ROW()-1,"")</f>
        <v/>
      </c>
      <c r="B104" s="3"/>
      <c r="C104" s="3"/>
      <c r="D104" s="3"/>
      <c r="E104" s="4"/>
      <c r="F104" s="4"/>
      <c r="G104" s="5"/>
      <c r="H104" s="4"/>
      <c r="I104" s="4"/>
      <c r="J104" s="4"/>
      <c r="K104" s="4"/>
      <c r="L104" s="6" t="str">
        <f aca="false">IF(AND(G104&lt;&gt;"",H104&gt;0),ROUND(G104/H104,0),"")</f>
        <v/>
      </c>
      <c r="M104" s="6" t="str">
        <f aca="false">IF(F104&lt;&gt;"",IFERROR(VLOOKUP(F104,TablaRef,2,FALSE()),"?"),"")</f>
        <v/>
      </c>
      <c r="N104" s="7" t="str">
        <f aca="false">IF(AND(L104&lt;&gt;"",M104&lt;&gt;"",ISNUMBER(M104)),IF(L104&lt;M104*(1-MargenPct),"🟢",IF(L104&gt;M104*(1+MargenPct),"🔴","🟡")),"")</f>
        <v/>
      </c>
      <c r="O104" s="8" t="str">
        <f aca="false">IF(G104&lt;&gt;"",W104+X104+Y104+Z104+AB104+AC104+AD104,"")</f>
        <v/>
      </c>
      <c r="P104" s="9" t="str">
        <f aca="false">IF(G104&lt;&gt;"",IF(O104&lt;=Presupuesto,"✓","✗"),"")</f>
        <v/>
      </c>
      <c r="Q104" s="10" t="str">
        <f aca="false">IF(G104&lt;&gt;"",Presupuesto-O104,"")</f>
        <v/>
      </c>
      <c r="R104" s="11"/>
      <c r="S104" s="11"/>
      <c r="T104" s="12"/>
      <c r="U104" s="12"/>
      <c r="V104" s="11"/>
      <c r="W104" s="13" t="str">
        <f aca="false">IF(G104&lt;&gt;"",MAX(G104-Credito,G104*0.1),"")</f>
        <v/>
      </c>
      <c r="X104" s="13" t="str">
        <f aca="false">IF(G104&lt;&gt;"",ROUND(G104*0.02*1.21,0),"")</f>
        <v/>
      </c>
      <c r="Y104" s="13" t="str">
        <f aca="false">IF(G104&lt;&gt;"",IF(G104&lt;=140000,0,ROUND(G104*0.0175,0)),"")</f>
        <v/>
      </c>
      <c r="Z104" s="13" t="str">
        <f aca="false">IF(G104&lt;&gt;"",ROUND(G104*0.004,0),"")</f>
        <v/>
      </c>
      <c r="AA104" s="14"/>
      <c r="AB104" s="13" t="str">
        <f aca="false">IF(G104&lt;&gt;"",IF(AA104="Sí",ROUND(G104*0.04*1.21,0),0),"")</f>
        <v/>
      </c>
      <c r="AC104" s="13" t="str">
        <f aca="false">IF(G104&lt;&gt;"",ROUND(G104*0.01,0),"")</f>
        <v/>
      </c>
      <c r="AD104" s="13" t="str">
        <f aca="false">IF(G104&lt;&gt;"",300,"")</f>
        <v/>
      </c>
      <c r="AE104" s="15"/>
      <c r="AF104" s="15"/>
      <c r="AG104" s="16"/>
      <c r="AH104" s="16"/>
      <c r="AI104" s="17" t="str">
        <f aca="false">IF(AND(AG104&lt;&gt;"",AH104&lt;&gt;""),(AG104+AH104)/2,"")</f>
        <v/>
      </c>
      <c r="AJ104" s="15"/>
      <c r="AK104" s="15"/>
    </row>
    <row r="105" customFormat="false" ht="15" hidden="false" customHeight="false" outlineLevel="0" collapsed="false">
      <c r="A105" s="2" t="str">
        <f aca="false">IF(E105&lt;&gt;"",ROW()-1,"")</f>
        <v/>
      </c>
      <c r="B105" s="3"/>
      <c r="C105" s="3"/>
      <c r="D105" s="3"/>
      <c r="E105" s="4"/>
      <c r="F105" s="4"/>
      <c r="G105" s="5"/>
      <c r="H105" s="4"/>
      <c r="I105" s="4"/>
      <c r="J105" s="4"/>
      <c r="K105" s="4"/>
      <c r="L105" s="6" t="str">
        <f aca="false">IF(AND(G105&lt;&gt;"",H105&gt;0),ROUND(G105/H105,0),"")</f>
        <v/>
      </c>
      <c r="M105" s="6" t="str">
        <f aca="false">IF(F105&lt;&gt;"",IFERROR(VLOOKUP(F105,TablaRef,2,FALSE()),"?"),"")</f>
        <v/>
      </c>
      <c r="N105" s="7" t="str">
        <f aca="false">IF(AND(L105&lt;&gt;"",M105&lt;&gt;"",ISNUMBER(M105)),IF(L105&lt;M105*(1-MargenPct),"🟢",IF(L105&gt;M105*(1+MargenPct),"🔴","🟡")),"")</f>
        <v/>
      </c>
      <c r="O105" s="8" t="str">
        <f aca="false">IF(G105&lt;&gt;"",W105+X105+Y105+Z105+AB105+AC105+AD105,"")</f>
        <v/>
      </c>
      <c r="P105" s="9" t="str">
        <f aca="false">IF(G105&lt;&gt;"",IF(O105&lt;=Presupuesto,"✓","✗"),"")</f>
        <v/>
      </c>
      <c r="Q105" s="10" t="str">
        <f aca="false">IF(G105&lt;&gt;"",Presupuesto-O105,"")</f>
        <v/>
      </c>
      <c r="R105" s="11"/>
      <c r="S105" s="11"/>
      <c r="T105" s="12"/>
      <c r="U105" s="12"/>
      <c r="V105" s="11"/>
      <c r="W105" s="13" t="str">
        <f aca="false">IF(G105&lt;&gt;"",MAX(G105-Credito,G105*0.1),"")</f>
        <v/>
      </c>
      <c r="X105" s="13" t="str">
        <f aca="false">IF(G105&lt;&gt;"",ROUND(G105*0.02*1.21,0),"")</f>
        <v/>
      </c>
      <c r="Y105" s="13" t="str">
        <f aca="false">IF(G105&lt;&gt;"",IF(G105&lt;=140000,0,ROUND(G105*0.0175,0)),"")</f>
        <v/>
      </c>
      <c r="Z105" s="13" t="str">
        <f aca="false">IF(G105&lt;&gt;"",ROUND(G105*0.004,0),"")</f>
        <v/>
      </c>
      <c r="AA105" s="14"/>
      <c r="AB105" s="13" t="str">
        <f aca="false">IF(G105&lt;&gt;"",IF(AA105="Sí",ROUND(G105*0.04*1.21,0),0),"")</f>
        <v/>
      </c>
      <c r="AC105" s="13" t="str">
        <f aca="false">IF(G105&lt;&gt;"",ROUND(G105*0.01,0),"")</f>
        <v/>
      </c>
      <c r="AD105" s="13" t="str">
        <f aca="false">IF(G105&lt;&gt;"",300,"")</f>
        <v/>
      </c>
      <c r="AE105" s="15"/>
      <c r="AF105" s="15"/>
      <c r="AG105" s="16"/>
      <c r="AH105" s="16"/>
      <c r="AI105" s="17" t="str">
        <f aca="false">IF(AND(AG105&lt;&gt;"",AH105&lt;&gt;""),(AG105+AH105)/2,"")</f>
        <v/>
      </c>
      <c r="AJ105" s="15"/>
      <c r="AK105" s="15"/>
    </row>
    <row r="106" customFormat="false" ht="15" hidden="false" customHeight="false" outlineLevel="0" collapsed="false">
      <c r="A106" s="2" t="str">
        <f aca="false">IF(E106&lt;&gt;"",ROW()-1,"")</f>
        <v/>
      </c>
      <c r="B106" s="3"/>
      <c r="C106" s="3"/>
      <c r="D106" s="3"/>
      <c r="E106" s="4"/>
      <c r="F106" s="4"/>
      <c r="G106" s="5"/>
      <c r="H106" s="4"/>
      <c r="I106" s="4"/>
      <c r="J106" s="4"/>
      <c r="K106" s="4"/>
      <c r="L106" s="6" t="str">
        <f aca="false">IF(AND(G106&lt;&gt;"",H106&gt;0),ROUND(G106/H106,0),"")</f>
        <v/>
      </c>
      <c r="M106" s="6" t="str">
        <f aca="false">IF(F106&lt;&gt;"",IFERROR(VLOOKUP(F106,TablaRef,2,FALSE()),"?"),"")</f>
        <v/>
      </c>
      <c r="N106" s="7" t="str">
        <f aca="false">IF(AND(L106&lt;&gt;"",M106&lt;&gt;"",ISNUMBER(M106)),IF(L106&lt;M106*(1-MargenPct),"🟢",IF(L106&gt;M106*(1+MargenPct),"🔴","🟡")),"")</f>
        <v/>
      </c>
      <c r="O106" s="8" t="str">
        <f aca="false">IF(G106&lt;&gt;"",W106+X106+Y106+Z106+AB106+AC106+AD106,"")</f>
        <v/>
      </c>
      <c r="P106" s="9" t="str">
        <f aca="false">IF(G106&lt;&gt;"",IF(O106&lt;=Presupuesto,"✓","✗"),"")</f>
        <v/>
      </c>
      <c r="Q106" s="10" t="str">
        <f aca="false">IF(G106&lt;&gt;"",Presupuesto-O106,"")</f>
        <v/>
      </c>
      <c r="R106" s="11"/>
      <c r="S106" s="11"/>
      <c r="T106" s="12"/>
      <c r="U106" s="12"/>
      <c r="V106" s="11"/>
      <c r="W106" s="13" t="str">
        <f aca="false">IF(G106&lt;&gt;"",MAX(G106-Credito,G106*0.1),"")</f>
        <v/>
      </c>
      <c r="X106" s="13" t="str">
        <f aca="false">IF(G106&lt;&gt;"",ROUND(G106*0.02*1.21,0),"")</f>
        <v/>
      </c>
      <c r="Y106" s="13" t="str">
        <f aca="false">IF(G106&lt;&gt;"",IF(G106&lt;=140000,0,ROUND(G106*0.0175,0)),"")</f>
        <v/>
      </c>
      <c r="Z106" s="13" t="str">
        <f aca="false">IF(G106&lt;&gt;"",ROUND(G106*0.004,0),"")</f>
        <v/>
      </c>
      <c r="AA106" s="14"/>
      <c r="AB106" s="13" t="str">
        <f aca="false">IF(G106&lt;&gt;"",IF(AA106="Sí",ROUND(G106*0.04*1.21,0),0),"")</f>
        <v/>
      </c>
      <c r="AC106" s="13" t="str">
        <f aca="false">IF(G106&lt;&gt;"",ROUND(G106*0.01,0),"")</f>
        <v/>
      </c>
      <c r="AD106" s="13" t="str">
        <f aca="false">IF(G106&lt;&gt;"",300,"")</f>
        <v/>
      </c>
      <c r="AE106" s="15"/>
      <c r="AF106" s="15"/>
      <c r="AG106" s="16"/>
      <c r="AH106" s="16"/>
      <c r="AI106" s="17" t="str">
        <f aca="false">IF(AND(AG106&lt;&gt;"",AH106&lt;&gt;""),(AG106+AH106)/2,"")</f>
        <v/>
      </c>
      <c r="AJ106" s="15"/>
      <c r="AK106" s="15"/>
    </row>
    <row r="107" customFormat="false" ht="15" hidden="false" customHeight="false" outlineLevel="0" collapsed="false">
      <c r="A107" s="2" t="str">
        <f aca="false">IF(E107&lt;&gt;"",ROW()-1,"")</f>
        <v/>
      </c>
      <c r="B107" s="3"/>
      <c r="C107" s="3"/>
      <c r="D107" s="3"/>
      <c r="E107" s="4"/>
      <c r="F107" s="4"/>
      <c r="G107" s="5"/>
      <c r="H107" s="4"/>
      <c r="I107" s="4"/>
      <c r="J107" s="4"/>
      <c r="K107" s="4"/>
      <c r="L107" s="6" t="str">
        <f aca="false">IF(AND(G107&lt;&gt;"",H107&gt;0),ROUND(G107/H107,0),"")</f>
        <v/>
      </c>
      <c r="M107" s="6" t="str">
        <f aca="false">IF(F107&lt;&gt;"",IFERROR(VLOOKUP(F107,TablaRef,2,FALSE()),"?"),"")</f>
        <v/>
      </c>
      <c r="N107" s="7" t="str">
        <f aca="false">IF(AND(L107&lt;&gt;"",M107&lt;&gt;"",ISNUMBER(M107)),IF(L107&lt;M107*(1-MargenPct),"🟢",IF(L107&gt;M107*(1+MargenPct),"🔴","🟡")),"")</f>
        <v/>
      </c>
      <c r="O107" s="8" t="str">
        <f aca="false">IF(G107&lt;&gt;"",W107+X107+Y107+Z107+AB107+AC107+AD107,"")</f>
        <v/>
      </c>
      <c r="P107" s="9" t="str">
        <f aca="false">IF(G107&lt;&gt;"",IF(O107&lt;=Presupuesto,"✓","✗"),"")</f>
        <v/>
      </c>
      <c r="Q107" s="10" t="str">
        <f aca="false">IF(G107&lt;&gt;"",Presupuesto-O107,"")</f>
        <v/>
      </c>
      <c r="R107" s="11"/>
      <c r="S107" s="11"/>
      <c r="T107" s="12"/>
      <c r="U107" s="12"/>
      <c r="V107" s="11"/>
      <c r="W107" s="13" t="str">
        <f aca="false">IF(G107&lt;&gt;"",MAX(G107-Credito,G107*0.1),"")</f>
        <v/>
      </c>
      <c r="X107" s="13" t="str">
        <f aca="false">IF(G107&lt;&gt;"",ROUND(G107*0.02*1.21,0),"")</f>
        <v/>
      </c>
      <c r="Y107" s="13" t="str">
        <f aca="false">IF(G107&lt;&gt;"",IF(G107&lt;=140000,0,ROUND(G107*0.0175,0)),"")</f>
        <v/>
      </c>
      <c r="Z107" s="13" t="str">
        <f aca="false">IF(G107&lt;&gt;"",ROUND(G107*0.004,0),"")</f>
        <v/>
      </c>
      <c r="AA107" s="14"/>
      <c r="AB107" s="13" t="str">
        <f aca="false">IF(G107&lt;&gt;"",IF(AA107="Sí",ROUND(G107*0.04*1.21,0),0),"")</f>
        <v/>
      </c>
      <c r="AC107" s="13" t="str">
        <f aca="false">IF(G107&lt;&gt;"",ROUND(G107*0.01,0),"")</f>
        <v/>
      </c>
      <c r="AD107" s="13" t="str">
        <f aca="false">IF(G107&lt;&gt;"",300,"")</f>
        <v/>
      </c>
      <c r="AE107" s="15"/>
      <c r="AF107" s="15"/>
      <c r="AG107" s="16"/>
      <c r="AH107" s="16"/>
      <c r="AI107" s="17" t="str">
        <f aca="false">IF(AND(AG107&lt;&gt;"",AH107&lt;&gt;""),(AG107+AH107)/2,"")</f>
        <v/>
      </c>
      <c r="AJ107" s="15"/>
      <c r="AK107" s="15"/>
    </row>
    <row r="108" customFormat="false" ht="15" hidden="false" customHeight="false" outlineLevel="0" collapsed="false">
      <c r="A108" s="2" t="str">
        <f aca="false">IF(E108&lt;&gt;"",ROW()-1,"")</f>
        <v/>
      </c>
      <c r="B108" s="3"/>
      <c r="C108" s="3"/>
      <c r="D108" s="3"/>
      <c r="E108" s="4"/>
      <c r="F108" s="4"/>
      <c r="G108" s="5"/>
      <c r="H108" s="4"/>
      <c r="I108" s="4"/>
      <c r="J108" s="4"/>
      <c r="K108" s="4"/>
      <c r="L108" s="6" t="str">
        <f aca="false">IF(AND(G108&lt;&gt;"",H108&gt;0),ROUND(G108/H108,0),"")</f>
        <v/>
      </c>
      <c r="M108" s="6" t="str">
        <f aca="false">IF(F108&lt;&gt;"",IFERROR(VLOOKUP(F108,TablaRef,2,FALSE()),"?"),"")</f>
        <v/>
      </c>
      <c r="N108" s="7" t="str">
        <f aca="false">IF(AND(L108&lt;&gt;"",M108&lt;&gt;"",ISNUMBER(M108)),IF(L108&lt;M108*(1-MargenPct),"🟢",IF(L108&gt;M108*(1+MargenPct),"🔴","🟡")),"")</f>
        <v/>
      </c>
      <c r="O108" s="8" t="str">
        <f aca="false">IF(G108&lt;&gt;"",W108+X108+Y108+Z108+AB108+AC108+AD108,"")</f>
        <v/>
      </c>
      <c r="P108" s="9" t="str">
        <f aca="false">IF(G108&lt;&gt;"",IF(O108&lt;=Presupuesto,"✓","✗"),"")</f>
        <v/>
      </c>
      <c r="Q108" s="10" t="str">
        <f aca="false">IF(G108&lt;&gt;"",Presupuesto-O108,"")</f>
        <v/>
      </c>
      <c r="R108" s="11"/>
      <c r="S108" s="11"/>
      <c r="T108" s="12"/>
      <c r="U108" s="12"/>
      <c r="V108" s="11"/>
      <c r="W108" s="13" t="str">
        <f aca="false">IF(G108&lt;&gt;"",MAX(G108-Credito,G108*0.1),"")</f>
        <v/>
      </c>
      <c r="X108" s="13" t="str">
        <f aca="false">IF(G108&lt;&gt;"",ROUND(G108*0.02*1.21,0),"")</f>
        <v/>
      </c>
      <c r="Y108" s="13" t="str">
        <f aca="false">IF(G108&lt;&gt;"",IF(G108&lt;=140000,0,ROUND(G108*0.0175,0)),"")</f>
        <v/>
      </c>
      <c r="Z108" s="13" t="str">
        <f aca="false">IF(G108&lt;&gt;"",ROUND(G108*0.004,0),"")</f>
        <v/>
      </c>
      <c r="AA108" s="14"/>
      <c r="AB108" s="13" t="str">
        <f aca="false">IF(G108&lt;&gt;"",IF(AA108="Sí",ROUND(G108*0.04*1.21,0),0),"")</f>
        <v/>
      </c>
      <c r="AC108" s="13" t="str">
        <f aca="false">IF(G108&lt;&gt;"",ROUND(G108*0.01,0),"")</f>
        <v/>
      </c>
      <c r="AD108" s="13" t="str">
        <f aca="false">IF(G108&lt;&gt;"",300,"")</f>
        <v/>
      </c>
      <c r="AE108" s="15"/>
      <c r="AF108" s="15"/>
      <c r="AG108" s="16"/>
      <c r="AH108" s="16"/>
      <c r="AI108" s="17" t="str">
        <f aca="false">IF(AND(AG108&lt;&gt;"",AH108&lt;&gt;""),(AG108+AH108)/2,"")</f>
        <v/>
      </c>
      <c r="AJ108" s="15"/>
      <c r="AK108" s="15"/>
    </row>
    <row r="109" customFormat="false" ht="15" hidden="false" customHeight="false" outlineLevel="0" collapsed="false">
      <c r="A109" s="2" t="str">
        <f aca="false">IF(E109&lt;&gt;"",ROW()-1,"")</f>
        <v/>
      </c>
      <c r="B109" s="3"/>
      <c r="C109" s="3"/>
      <c r="D109" s="3"/>
      <c r="E109" s="4"/>
      <c r="F109" s="4"/>
      <c r="G109" s="5"/>
      <c r="H109" s="4"/>
      <c r="I109" s="4"/>
      <c r="J109" s="4"/>
      <c r="K109" s="4"/>
      <c r="L109" s="6" t="str">
        <f aca="false">IF(AND(G109&lt;&gt;"",H109&gt;0),ROUND(G109/H109,0),"")</f>
        <v/>
      </c>
      <c r="M109" s="6" t="str">
        <f aca="false">IF(F109&lt;&gt;"",IFERROR(VLOOKUP(F109,TablaRef,2,FALSE()),"?"),"")</f>
        <v/>
      </c>
      <c r="N109" s="7" t="str">
        <f aca="false">IF(AND(L109&lt;&gt;"",M109&lt;&gt;"",ISNUMBER(M109)),IF(L109&lt;M109*(1-MargenPct),"🟢",IF(L109&gt;M109*(1+MargenPct),"🔴","🟡")),"")</f>
        <v/>
      </c>
      <c r="O109" s="8" t="str">
        <f aca="false">IF(G109&lt;&gt;"",W109+X109+Y109+Z109+AB109+AC109+AD109,"")</f>
        <v/>
      </c>
      <c r="P109" s="9" t="str">
        <f aca="false">IF(G109&lt;&gt;"",IF(O109&lt;=Presupuesto,"✓","✗"),"")</f>
        <v/>
      </c>
      <c r="Q109" s="10" t="str">
        <f aca="false">IF(G109&lt;&gt;"",Presupuesto-O109,"")</f>
        <v/>
      </c>
      <c r="R109" s="11"/>
      <c r="S109" s="11"/>
      <c r="T109" s="12"/>
      <c r="U109" s="12"/>
      <c r="V109" s="11"/>
      <c r="W109" s="13" t="str">
        <f aca="false">IF(G109&lt;&gt;"",MAX(G109-Credito,G109*0.1),"")</f>
        <v/>
      </c>
      <c r="X109" s="13" t="str">
        <f aca="false">IF(G109&lt;&gt;"",ROUND(G109*0.02*1.21,0),"")</f>
        <v/>
      </c>
      <c r="Y109" s="13" t="str">
        <f aca="false">IF(G109&lt;&gt;"",IF(G109&lt;=140000,0,ROUND(G109*0.0175,0)),"")</f>
        <v/>
      </c>
      <c r="Z109" s="13" t="str">
        <f aca="false">IF(G109&lt;&gt;"",ROUND(G109*0.004,0),"")</f>
        <v/>
      </c>
      <c r="AA109" s="14"/>
      <c r="AB109" s="13" t="str">
        <f aca="false">IF(G109&lt;&gt;"",IF(AA109="Sí",ROUND(G109*0.04*1.21,0),0),"")</f>
        <v/>
      </c>
      <c r="AC109" s="13" t="str">
        <f aca="false">IF(G109&lt;&gt;"",ROUND(G109*0.01,0),"")</f>
        <v/>
      </c>
      <c r="AD109" s="13" t="str">
        <f aca="false">IF(G109&lt;&gt;"",300,"")</f>
        <v/>
      </c>
      <c r="AE109" s="15"/>
      <c r="AF109" s="15"/>
      <c r="AG109" s="16"/>
      <c r="AH109" s="16"/>
      <c r="AI109" s="17" t="str">
        <f aca="false">IF(AND(AG109&lt;&gt;"",AH109&lt;&gt;""),(AG109+AH109)/2,"")</f>
        <v/>
      </c>
      <c r="AJ109" s="15"/>
      <c r="AK109" s="15"/>
    </row>
    <row r="110" customFormat="false" ht="15" hidden="false" customHeight="false" outlineLevel="0" collapsed="false">
      <c r="A110" s="2" t="str">
        <f aca="false">IF(E110&lt;&gt;"",ROW()-1,"")</f>
        <v/>
      </c>
      <c r="B110" s="3"/>
      <c r="C110" s="3"/>
      <c r="D110" s="3"/>
      <c r="E110" s="4"/>
      <c r="F110" s="4"/>
      <c r="G110" s="5"/>
      <c r="H110" s="4"/>
      <c r="I110" s="4"/>
      <c r="J110" s="4"/>
      <c r="K110" s="4"/>
      <c r="L110" s="6" t="str">
        <f aca="false">IF(AND(G110&lt;&gt;"",H110&gt;0),ROUND(G110/H110,0),"")</f>
        <v/>
      </c>
      <c r="M110" s="6" t="str">
        <f aca="false">IF(F110&lt;&gt;"",IFERROR(VLOOKUP(F110,TablaRef,2,FALSE()),"?"),"")</f>
        <v/>
      </c>
      <c r="N110" s="7" t="str">
        <f aca="false">IF(AND(L110&lt;&gt;"",M110&lt;&gt;"",ISNUMBER(M110)),IF(L110&lt;M110*(1-MargenPct),"🟢",IF(L110&gt;M110*(1+MargenPct),"🔴","🟡")),"")</f>
        <v/>
      </c>
      <c r="O110" s="8" t="str">
        <f aca="false">IF(G110&lt;&gt;"",W110+X110+Y110+Z110+AB110+AC110+AD110,"")</f>
        <v/>
      </c>
      <c r="P110" s="9" t="str">
        <f aca="false">IF(G110&lt;&gt;"",IF(O110&lt;=Presupuesto,"✓","✗"),"")</f>
        <v/>
      </c>
      <c r="Q110" s="10" t="str">
        <f aca="false">IF(G110&lt;&gt;"",Presupuesto-O110,"")</f>
        <v/>
      </c>
      <c r="R110" s="11"/>
      <c r="S110" s="11"/>
      <c r="T110" s="12"/>
      <c r="U110" s="12"/>
      <c r="V110" s="11"/>
      <c r="W110" s="13" t="str">
        <f aca="false">IF(G110&lt;&gt;"",MAX(G110-Credito,G110*0.1),"")</f>
        <v/>
      </c>
      <c r="X110" s="13" t="str">
        <f aca="false">IF(G110&lt;&gt;"",ROUND(G110*0.02*1.21,0),"")</f>
        <v/>
      </c>
      <c r="Y110" s="13" t="str">
        <f aca="false">IF(G110&lt;&gt;"",IF(G110&lt;=140000,0,ROUND(G110*0.0175,0)),"")</f>
        <v/>
      </c>
      <c r="Z110" s="13" t="str">
        <f aca="false">IF(G110&lt;&gt;"",ROUND(G110*0.004,0),"")</f>
        <v/>
      </c>
      <c r="AA110" s="14"/>
      <c r="AB110" s="13" t="str">
        <f aca="false">IF(G110&lt;&gt;"",IF(AA110="Sí",ROUND(G110*0.04*1.21,0),0),"")</f>
        <v/>
      </c>
      <c r="AC110" s="13" t="str">
        <f aca="false">IF(G110&lt;&gt;"",ROUND(G110*0.01,0),"")</f>
        <v/>
      </c>
      <c r="AD110" s="13" t="str">
        <f aca="false">IF(G110&lt;&gt;"",300,"")</f>
        <v/>
      </c>
      <c r="AE110" s="15"/>
      <c r="AF110" s="15"/>
      <c r="AG110" s="16"/>
      <c r="AH110" s="16"/>
      <c r="AI110" s="17" t="str">
        <f aca="false">IF(AND(AG110&lt;&gt;"",AH110&lt;&gt;""),(AG110+AH110)/2,"")</f>
        <v/>
      </c>
      <c r="AJ110" s="15"/>
      <c r="AK110" s="15"/>
    </row>
    <row r="111" customFormat="false" ht="15" hidden="false" customHeight="false" outlineLevel="0" collapsed="false">
      <c r="A111" s="2" t="str">
        <f aca="false">IF(E111&lt;&gt;"",ROW()-1,"")</f>
        <v/>
      </c>
      <c r="B111" s="3"/>
      <c r="C111" s="3"/>
      <c r="D111" s="3"/>
      <c r="E111" s="4"/>
      <c r="F111" s="4"/>
      <c r="G111" s="5"/>
      <c r="H111" s="4"/>
      <c r="I111" s="4"/>
      <c r="J111" s="4"/>
      <c r="K111" s="4"/>
      <c r="L111" s="6" t="str">
        <f aca="false">IF(AND(G111&lt;&gt;"",H111&gt;0),ROUND(G111/H111,0),"")</f>
        <v/>
      </c>
      <c r="M111" s="6" t="str">
        <f aca="false">IF(F111&lt;&gt;"",IFERROR(VLOOKUP(F111,TablaRef,2,FALSE()),"?"),"")</f>
        <v/>
      </c>
      <c r="N111" s="7" t="str">
        <f aca="false">IF(AND(L111&lt;&gt;"",M111&lt;&gt;"",ISNUMBER(M111)),IF(L111&lt;M111*(1-MargenPct),"🟢",IF(L111&gt;M111*(1+MargenPct),"🔴","🟡")),"")</f>
        <v/>
      </c>
      <c r="O111" s="8" t="str">
        <f aca="false">IF(G111&lt;&gt;"",W111+X111+Y111+Z111+AB111+AC111+AD111,"")</f>
        <v/>
      </c>
      <c r="P111" s="9" t="str">
        <f aca="false">IF(G111&lt;&gt;"",IF(O111&lt;=Presupuesto,"✓","✗"),"")</f>
        <v/>
      </c>
      <c r="Q111" s="10" t="str">
        <f aca="false">IF(G111&lt;&gt;"",Presupuesto-O111,"")</f>
        <v/>
      </c>
      <c r="R111" s="11"/>
      <c r="S111" s="11"/>
      <c r="T111" s="12"/>
      <c r="U111" s="12"/>
      <c r="V111" s="11"/>
      <c r="W111" s="13" t="str">
        <f aca="false">IF(G111&lt;&gt;"",MAX(G111-Credito,G111*0.1),"")</f>
        <v/>
      </c>
      <c r="X111" s="13" t="str">
        <f aca="false">IF(G111&lt;&gt;"",ROUND(G111*0.02*1.21,0),"")</f>
        <v/>
      </c>
      <c r="Y111" s="13" t="str">
        <f aca="false">IF(G111&lt;&gt;"",IF(G111&lt;=140000,0,ROUND(G111*0.0175,0)),"")</f>
        <v/>
      </c>
      <c r="Z111" s="13" t="str">
        <f aca="false">IF(G111&lt;&gt;"",ROUND(G111*0.004,0),"")</f>
        <v/>
      </c>
      <c r="AA111" s="14"/>
      <c r="AB111" s="13" t="str">
        <f aca="false">IF(G111&lt;&gt;"",IF(AA111="Sí",ROUND(G111*0.04*1.21,0),0),"")</f>
        <v/>
      </c>
      <c r="AC111" s="13" t="str">
        <f aca="false">IF(G111&lt;&gt;"",ROUND(G111*0.01,0),"")</f>
        <v/>
      </c>
      <c r="AD111" s="13" t="str">
        <f aca="false">IF(G111&lt;&gt;"",300,"")</f>
        <v/>
      </c>
      <c r="AE111" s="15"/>
      <c r="AF111" s="15"/>
      <c r="AG111" s="16"/>
      <c r="AH111" s="16"/>
      <c r="AI111" s="17" t="str">
        <f aca="false">IF(AND(AG111&lt;&gt;"",AH111&lt;&gt;""),(AG111+AH111)/2,"")</f>
        <v/>
      </c>
      <c r="AJ111" s="15"/>
      <c r="AK111" s="15"/>
    </row>
    <row r="112" customFormat="false" ht="15" hidden="false" customHeight="false" outlineLevel="0" collapsed="false">
      <c r="A112" s="2" t="str">
        <f aca="false">IF(E112&lt;&gt;"",ROW()-1,"")</f>
        <v/>
      </c>
      <c r="B112" s="3"/>
      <c r="C112" s="3"/>
      <c r="D112" s="3"/>
      <c r="E112" s="4"/>
      <c r="F112" s="4"/>
      <c r="G112" s="5"/>
      <c r="H112" s="4"/>
      <c r="I112" s="4"/>
      <c r="J112" s="4"/>
      <c r="K112" s="4"/>
      <c r="L112" s="6" t="str">
        <f aca="false">IF(AND(G112&lt;&gt;"",H112&gt;0),ROUND(G112/H112,0),"")</f>
        <v/>
      </c>
      <c r="M112" s="6" t="str">
        <f aca="false">IF(F112&lt;&gt;"",IFERROR(VLOOKUP(F112,TablaRef,2,FALSE()),"?"),"")</f>
        <v/>
      </c>
      <c r="N112" s="7" t="str">
        <f aca="false">IF(AND(L112&lt;&gt;"",M112&lt;&gt;"",ISNUMBER(M112)),IF(L112&lt;M112*(1-MargenPct),"🟢",IF(L112&gt;M112*(1+MargenPct),"🔴","🟡")),"")</f>
        <v/>
      </c>
      <c r="O112" s="8" t="str">
        <f aca="false">IF(G112&lt;&gt;"",W112+X112+Y112+Z112+AB112+AC112+AD112,"")</f>
        <v/>
      </c>
      <c r="P112" s="9" t="str">
        <f aca="false">IF(G112&lt;&gt;"",IF(O112&lt;=Presupuesto,"✓","✗"),"")</f>
        <v/>
      </c>
      <c r="Q112" s="10" t="str">
        <f aca="false">IF(G112&lt;&gt;"",Presupuesto-O112,"")</f>
        <v/>
      </c>
      <c r="R112" s="11"/>
      <c r="S112" s="11"/>
      <c r="T112" s="12"/>
      <c r="U112" s="12"/>
      <c r="V112" s="11"/>
      <c r="W112" s="13" t="str">
        <f aca="false">IF(G112&lt;&gt;"",MAX(G112-Credito,G112*0.1),"")</f>
        <v/>
      </c>
      <c r="X112" s="13" t="str">
        <f aca="false">IF(G112&lt;&gt;"",ROUND(G112*0.02*1.21,0),"")</f>
        <v/>
      </c>
      <c r="Y112" s="13" t="str">
        <f aca="false">IF(G112&lt;&gt;"",IF(G112&lt;=140000,0,ROUND(G112*0.0175,0)),"")</f>
        <v/>
      </c>
      <c r="Z112" s="13" t="str">
        <f aca="false">IF(G112&lt;&gt;"",ROUND(G112*0.004,0),"")</f>
        <v/>
      </c>
      <c r="AA112" s="14"/>
      <c r="AB112" s="13" t="str">
        <f aca="false">IF(G112&lt;&gt;"",IF(AA112="Sí",ROUND(G112*0.04*1.21,0),0),"")</f>
        <v/>
      </c>
      <c r="AC112" s="13" t="str">
        <f aca="false">IF(G112&lt;&gt;"",ROUND(G112*0.01,0),"")</f>
        <v/>
      </c>
      <c r="AD112" s="13" t="str">
        <f aca="false">IF(G112&lt;&gt;"",300,"")</f>
        <v/>
      </c>
      <c r="AE112" s="15"/>
      <c r="AF112" s="15"/>
      <c r="AG112" s="16"/>
      <c r="AH112" s="16"/>
      <c r="AI112" s="17" t="str">
        <f aca="false">IF(AND(AG112&lt;&gt;"",AH112&lt;&gt;""),(AG112+AH112)/2,"")</f>
        <v/>
      </c>
      <c r="AJ112" s="15"/>
      <c r="AK112" s="15"/>
    </row>
    <row r="113" customFormat="false" ht="15" hidden="false" customHeight="false" outlineLevel="0" collapsed="false">
      <c r="A113" s="2" t="str">
        <f aca="false">IF(E113&lt;&gt;"",ROW()-1,"")</f>
        <v/>
      </c>
      <c r="B113" s="3"/>
      <c r="C113" s="3"/>
      <c r="D113" s="3"/>
      <c r="E113" s="4"/>
      <c r="F113" s="4"/>
      <c r="G113" s="5"/>
      <c r="H113" s="4"/>
      <c r="I113" s="4"/>
      <c r="J113" s="4"/>
      <c r="K113" s="4"/>
      <c r="L113" s="6" t="str">
        <f aca="false">IF(AND(G113&lt;&gt;"",H113&gt;0),ROUND(G113/H113,0),"")</f>
        <v/>
      </c>
      <c r="M113" s="6" t="str">
        <f aca="false">IF(F113&lt;&gt;"",IFERROR(VLOOKUP(F113,TablaRef,2,FALSE()),"?"),"")</f>
        <v/>
      </c>
      <c r="N113" s="7" t="str">
        <f aca="false">IF(AND(L113&lt;&gt;"",M113&lt;&gt;"",ISNUMBER(M113)),IF(L113&lt;M113*(1-MargenPct),"🟢",IF(L113&gt;M113*(1+MargenPct),"🔴","🟡")),"")</f>
        <v/>
      </c>
      <c r="O113" s="8" t="str">
        <f aca="false">IF(G113&lt;&gt;"",W113+X113+Y113+Z113+AB113+AC113+AD113,"")</f>
        <v/>
      </c>
      <c r="P113" s="9" t="str">
        <f aca="false">IF(G113&lt;&gt;"",IF(O113&lt;=Presupuesto,"✓","✗"),"")</f>
        <v/>
      </c>
      <c r="Q113" s="10" t="str">
        <f aca="false">IF(G113&lt;&gt;"",Presupuesto-O113,"")</f>
        <v/>
      </c>
      <c r="R113" s="11"/>
      <c r="S113" s="11"/>
      <c r="T113" s="12"/>
      <c r="U113" s="12"/>
      <c r="V113" s="11"/>
      <c r="W113" s="13" t="str">
        <f aca="false">IF(G113&lt;&gt;"",MAX(G113-Credito,G113*0.1),"")</f>
        <v/>
      </c>
      <c r="X113" s="13" t="str">
        <f aca="false">IF(G113&lt;&gt;"",ROUND(G113*0.02*1.21,0),"")</f>
        <v/>
      </c>
      <c r="Y113" s="13" t="str">
        <f aca="false">IF(G113&lt;&gt;"",IF(G113&lt;=140000,0,ROUND(G113*0.0175,0)),"")</f>
        <v/>
      </c>
      <c r="Z113" s="13" t="str">
        <f aca="false">IF(G113&lt;&gt;"",ROUND(G113*0.004,0),"")</f>
        <v/>
      </c>
      <c r="AA113" s="14"/>
      <c r="AB113" s="13" t="str">
        <f aca="false">IF(G113&lt;&gt;"",IF(AA113="Sí",ROUND(G113*0.04*1.21,0),0),"")</f>
        <v/>
      </c>
      <c r="AC113" s="13" t="str">
        <f aca="false">IF(G113&lt;&gt;"",ROUND(G113*0.01,0),"")</f>
        <v/>
      </c>
      <c r="AD113" s="13" t="str">
        <f aca="false">IF(G113&lt;&gt;"",300,"")</f>
        <v/>
      </c>
      <c r="AE113" s="15"/>
      <c r="AF113" s="15"/>
      <c r="AG113" s="16"/>
      <c r="AH113" s="16"/>
      <c r="AI113" s="17" t="str">
        <f aca="false">IF(AND(AG113&lt;&gt;"",AH113&lt;&gt;""),(AG113+AH113)/2,"")</f>
        <v/>
      </c>
      <c r="AJ113" s="15"/>
      <c r="AK113" s="15"/>
    </row>
    <row r="114" customFormat="false" ht="15" hidden="false" customHeight="false" outlineLevel="0" collapsed="false">
      <c r="A114" s="2" t="str">
        <f aca="false">IF(E114&lt;&gt;"",ROW()-1,"")</f>
        <v/>
      </c>
      <c r="B114" s="3"/>
      <c r="C114" s="3"/>
      <c r="D114" s="3"/>
      <c r="E114" s="4"/>
      <c r="F114" s="4"/>
      <c r="G114" s="5"/>
      <c r="H114" s="4"/>
      <c r="I114" s="4"/>
      <c r="J114" s="4"/>
      <c r="K114" s="4"/>
      <c r="L114" s="6" t="str">
        <f aca="false">IF(AND(G114&lt;&gt;"",H114&gt;0),ROUND(G114/H114,0),"")</f>
        <v/>
      </c>
      <c r="M114" s="6" t="str">
        <f aca="false">IF(F114&lt;&gt;"",IFERROR(VLOOKUP(F114,TablaRef,2,FALSE()),"?"),"")</f>
        <v/>
      </c>
      <c r="N114" s="7" t="str">
        <f aca="false">IF(AND(L114&lt;&gt;"",M114&lt;&gt;"",ISNUMBER(M114)),IF(L114&lt;M114*(1-MargenPct),"🟢",IF(L114&gt;M114*(1+MargenPct),"🔴","🟡")),"")</f>
        <v/>
      </c>
      <c r="O114" s="8" t="str">
        <f aca="false">IF(G114&lt;&gt;"",W114+X114+Y114+Z114+AB114+AC114+AD114,"")</f>
        <v/>
      </c>
      <c r="P114" s="9" t="str">
        <f aca="false">IF(G114&lt;&gt;"",IF(O114&lt;=Presupuesto,"✓","✗"),"")</f>
        <v/>
      </c>
      <c r="Q114" s="10" t="str">
        <f aca="false">IF(G114&lt;&gt;"",Presupuesto-O114,"")</f>
        <v/>
      </c>
      <c r="R114" s="11"/>
      <c r="S114" s="11"/>
      <c r="T114" s="12"/>
      <c r="U114" s="12"/>
      <c r="V114" s="11"/>
      <c r="W114" s="13" t="str">
        <f aca="false">IF(G114&lt;&gt;"",MAX(G114-Credito,G114*0.1),"")</f>
        <v/>
      </c>
      <c r="X114" s="13" t="str">
        <f aca="false">IF(G114&lt;&gt;"",ROUND(G114*0.02*1.21,0),"")</f>
        <v/>
      </c>
      <c r="Y114" s="13" t="str">
        <f aca="false">IF(G114&lt;&gt;"",IF(G114&lt;=140000,0,ROUND(G114*0.0175,0)),"")</f>
        <v/>
      </c>
      <c r="Z114" s="13" t="str">
        <f aca="false">IF(G114&lt;&gt;"",ROUND(G114*0.004,0),"")</f>
        <v/>
      </c>
      <c r="AA114" s="14"/>
      <c r="AB114" s="13" t="str">
        <f aca="false">IF(G114&lt;&gt;"",IF(AA114="Sí",ROUND(G114*0.04*1.21,0),0),"")</f>
        <v/>
      </c>
      <c r="AC114" s="13" t="str">
        <f aca="false">IF(G114&lt;&gt;"",ROUND(G114*0.01,0),"")</f>
        <v/>
      </c>
      <c r="AD114" s="13" t="str">
        <f aca="false">IF(G114&lt;&gt;"",300,"")</f>
        <v/>
      </c>
      <c r="AE114" s="15"/>
      <c r="AF114" s="15"/>
      <c r="AG114" s="16"/>
      <c r="AH114" s="16"/>
      <c r="AI114" s="17" t="str">
        <f aca="false">IF(AND(AG114&lt;&gt;"",AH114&lt;&gt;""),(AG114+AH114)/2,"")</f>
        <v/>
      </c>
      <c r="AJ114" s="15"/>
      <c r="AK114" s="15"/>
    </row>
    <row r="115" customFormat="false" ht="15" hidden="false" customHeight="false" outlineLevel="0" collapsed="false">
      <c r="A115" s="2" t="str">
        <f aca="false">IF(E115&lt;&gt;"",ROW()-1,"")</f>
        <v/>
      </c>
      <c r="B115" s="3"/>
      <c r="C115" s="3"/>
      <c r="D115" s="3"/>
      <c r="E115" s="4"/>
      <c r="F115" s="4"/>
      <c r="G115" s="5"/>
      <c r="H115" s="4"/>
      <c r="I115" s="4"/>
      <c r="J115" s="4"/>
      <c r="K115" s="4"/>
      <c r="L115" s="6" t="str">
        <f aca="false">IF(AND(G115&lt;&gt;"",H115&gt;0),ROUND(G115/H115,0),"")</f>
        <v/>
      </c>
      <c r="M115" s="6" t="str">
        <f aca="false">IF(F115&lt;&gt;"",IFERROR(VLOOKUP(F115,TablaRef,2,FALSE()),"?"),"")</f>
        <v/>
      </c>
      <c r="N115" s="7" t="str">
        <f aca="false">IF(AND(L115&lt;&gt;"",M115&lt;&gt;"",ISNUMBER(M115)),IF(L115&lt;M115*(1-MargenPct),"🟢",IF(L115&gt;M115*(1+MargenPct),"🔴","🟡")),"")</f>
        <v/>
      </c>
      <c r="O115" s="8" t="str">
        <f aca="false">IF(G115&lt;&gt;"",W115+X115+Y115+Z115+AB115+AC115+AD115,"")</f>
        <v/>
      </c>
      <c r="P115" s="9" t="str">
        <f aca="false">IF(G115&lt;&gt;"",IF(O115&lt;=Presupuesto,"✓","✗"),"")</f>
        <v/>
      </c>
      <c r="Q115" s="10" t="str">
        <f aca="false">IF(G115&lt;&gt;"",Presupuesto-O115,"")</f>
        <v/>
      </c>
      <c r="R115" s="11"/>
      <c r="S115" s="11"/>
      <c r="T115" s="12"/>
      <c r="U115" s="12"/>
      <c r="V115" s="11"/>
      <c r="W115" s="13" t="str">
        <f aca="false">IF(G115&lt;&gt;"",MAX(G115-Credito,G115*0.1),"")</f>
        <v/>
      </c>
      <c r="X115" s="13" t="str">
        <f aca="false">IF(G115&lt;&gt;"",ROUND(G115*0.02*1.21,0),"")</f>
        <v/>
      </c>
      <c r="Y115" s="13" t="str">
        <f aca="false">IF(G115&lt;&gt;"",IF(G115&lt;=140000,0,ROUND(G115*0.0175,0)),"")</f>
        <v/>
      </c>
      <c r="Z115" s="13" t="str">
        <f aca="false">IF(G115&lt;&gt;"",ROUND(G115*0.004,0),"")</f>
        <v/>
      </c>
      <c r="AA115" s="14"/>
      <c r="AB115" s="13" t="str">
        <f aca="false">IF(G115&lt;&gt;"",IF(AA115="Sí",ROUND(G115*0.04*1.21,0),0),"")</f>
        <v/>
      </c>
      <c r="AC115" s="13" t="str">
        <f aca="false">IF(G115&lt;&gt;"",ROUND(G115*0.01,0),"")</f>
        <v/>
      </c>
      <c r="AD115" s="13" t="str">
        <f aca="false">IF(G115&lt;&gt;"",300,"")</f>
        <v/>
      </c>
      <c r="AE115" s="15"/>
      <c r="AF115" s="15"/>
      <c r="AG115" s="16"/>
      <c r="AH115" s="16"/>
      <c r="AI115" s="17" t="str">
        <f aca="false">IF(AND(AG115&lt;&gt;"",AH115&lt;&gt;""),(AG115+AH115)/2,"")</f>
        <v/>
      </c>
      <c r="AJ115" s="15"/>
      <c r="AK115" s="15"/>
    </row>
    <row r="116" customFormat="false" ht="15" hidden="false" customHeight="false" outlineLevel="0" collapsed="false">
      <c r="A116" s="2" t="str">
        <f aca="false">IF(E116&lt;&gt;"",ROW()-1,"")</f>
        <v/>
      </c>
      <c r="B116" s="3"/>
      <c r="C116" s="3"/>
      <c r="D116" s="3"/>
      <c r="E116" s="4"/>
      <c r="F116" s="4"/>
      <c r="G116" s="5"/>
      <c r="H116" s="4"/>
      <c r="I116" s="4"/>
      <c r="J116" s="4"/>
      <c r="K116" s="4"/>
      <c r="L116" s="6" t="str">
        <f aca="false">IF(AND(G116&lt;&gt;"",H116&gt;0),ROUND(G116/H116,0),"")</f>
        <v/>
      </c>
      <c r="M116" s="6" t="str">
        <f aca="false">IF(F116&lt;&gt;"",IFERROR(VLOOKUP(F116,TablaRef,2,FALSE()),"?"),"")</f>
        <v/>
      </c>
      <c r="N116" s="7" t="str">
        <f aca="false">IF(AND(L116&lt;&gt;"",M116&lt;&gt;"",ISNUMBER(M116)),IF(L116&lt;M116*(1-MargenPct),"🟢",IF(L116&gt;M116*(1+MargenPct),"🔴","🟡")),"")</f>
        <v/>
      </c>
      <c r="O116" s="8" t="str">
        <f aca="false">IF(G116&lt;&gt;"",W116+X116+Y116+Z116+AB116+AC116+AD116,"")</f>
        <v/>
      </c>
      <c r="P116" s="9" t="str">
        <f aca="false">IF(G116&lt;&gt;"",IF(O116&lt;=Presupuesto,"✓","✗"),"")</f>
        <v/>
      </c>
      <c r="Q116" s="10" t="str">
        <f aca="false">IF(G116&lt;&gt;"",Presupuesto-O116,"")</f>
        <v/>
      </c>
      <c r="R116" s="11"/>
      <c r="S116" s="11"/>
      <c r="T116" s="12"/>
      <c r="U116" s="12"/>
      <c r="V116" s="11"/>
      <c r="W116" s="13" t="str">
        <f aca="false">IF(G116&lt;&gt;"",MAX(G116-Credito,G116*0.1),"")</f>
        <v/>
      </c>
      <c r="X116" s="13" t="str">
        <f aca="false">IF(G116&lt;&gt;"",ROUND(G116*0.02*1.21,0),"")</f>
        <v/>
      </c>
      <c r="Y116" s="13" t="str">
        <f aca="false">IF(G116&lt;&gt;"",IF(G116&lt;=140000,0,ROUND(G116*0.0175,0)),"")</f>
        <v/>
      </c>
      <c r="Z116" s="13" t="str">
        <f aca="false">IF(G116&lt;&gt;"",ROUND(G116*0.004,0),"")</f>
        <v/>
      </c>
      <c r="AA116" s="14"/>
      <c r="AB116" s="13" t="str">
        <f aca="false">IF(G116&lt;&gt;"",IF(AA116="Sí",ROUND(G116*0.04*1.21,0),0),"")</f>
        <v/>
      </c>
      <c r="AC116" s="13" t="str">
        <f aca="false">IF(G116&lt;&gt;"",ROUND(G116*0.01,0),"")</f>
        <v/>
      </c>
      <c r="AD116" s="13" t="str">
        <f aca="false">IF(G116&lt;&gt;"",300,"")</f>
        <v/>
      </c>
      <c r="AE116" s="15"/>
      <c r="AF116" s="15"/>
      <c r="AG116" s="16"/>
      <c r="AH116" s="16"/>
      <c r="AI116" s="17" t="str">
        <f aca="false">IF(AND(AG116&lt;&gt;"",AH116&lt;&gt;""),(AG116+AH116)/2,"")</f>
        <v/>
      </c>
      <c r="AJ116" s="15"/>
      <c r="AK116" s="15"/>
    </row>
    <row r="117" customFormat="false" ht="15" hidden="false" customHeight="false" outlineLevel="0" collapsed="false">
      <c r="A117" s="2" t="str">
        <f aca="false">IF(E117&lt;&gt;"",ROW()-1,"")</f>
        <v/>
      </c>
      <c r="B117" s="3"/>
      <c r="C117" s="3"/>
      <c r="D117" s="3"/>
      <c r="E117" s="4"/>
      <c r="F117" s="4"/>
      <c r="G117" s="5"/>
      <c r="H117" s="4"/>
      <c r="I117" s="4"/>
      <c r="J117" s="4"/>
      <c r="K117" s="4"/>
      <c r="L117" s="6" t="str">
        <f aca="false">IF(AND(G117&lt;&gt;"",H117&gt;0),ROUND(G117/H117,0),"")</f>
        <v/>
      </c>
      <c r="M117" s="6" t="str">
        <f aca="false">IF(F117&lt;&gt;"",IFERROR(VLOOKUP(F117,TablaRef,2,FALSE()),"?"),"")</f>
        <v/>
      </c>
      <c r="N117" s="7" t="str">
        <f aca="false">IF(AND(L117&lt;&gt;"",M117&lt;&gt;"",ISNUMBER(M117)),IF(L117&lt;M117*(1-MargenPct),"🟢",IF(L117&gt;M117*(1+MargenPct),"🔴","🟡")),"")</f>
        <v/>
      </c>
      <c r="O117" s="8" t="str">
        <f aca="false">IF(G117&lt;&gt;"",W117+X117+Y117+Z117+AB117+AC117+AD117,"")</f>
        <v/>
      </c>
      <c r="P117" s="9" t="str">
        <f aca="false">IF(G117&lt;&gt;"",IF(O117&lt;=Presupuesto,"✓","✗"),"")</f>
        <v/>
      </c>
      <c r="Q117" s="10" t="str">
        <f aca="false">IF(G117&lt;&gt;"",Presupuesto-O117,"")</f>
        <v/>
      </c>
      <c r="R117" s="11"/>
      <c r="S117" s="11"/>
      <c r="T117" s="12"/>
      <c r="U117" s="12"/>
      <c r="V117" s="11"/>
      <c r="W117" s="13" t="str">
        <f aca="false">IF(G117&lt;&gt;"",MAX(G117-Credito,G117*0.1),"")</f>
        <v/>
      </c>
      <c r="X117" s="13" t="str">
        <f aca="false">IF(G117&lt;&gt;"",ROUND(G117*0.02*1.21,0),"")</f>
        <v/>
      </c>
      <c r="Y117" s="13" t="str">
        <f aca="false">IF(G117&lt;&gt;"",IF(G117&lt;=140000,0,ROUND(G117*0.0175,0)),"")</f>
        <v/>
      </c>
      <c r="Z117" s="13" t="str">
        <f aca="false">IF(G117&lt;&gt;"",ROUND(G117*0.004,0),"")</f>
        <v/>
      </c>
      <c r="AA117" s="14"/>
      <c r="AB117" s="13" t="str">
        <f aca="false">IF(G117&lt;&gt;"",IF(AA117="Sí",ROUND(G117*0.04*1.21,0),0),"")</f>
        <v/>
      </c>
      <c r="AC117" s="13" t="str">
        <f aca="false">IF(G117&lt;&gt;"",ROUND(G117*0.01,0),"")</f>
        <v/>
      </c>
      <c r="AD117" s="13" t="str">
        <f aca="false">IF(G117&lt;&gt;"",300,"")</f>
        <v/>
      </c>
      <c r="AE117" s="15"/>
      <c r="AF117" s="15"/>
      <c r="AG117" s="16"/>
      <c r="AH117" s="16"/>
      <c r="AI117" s="17" t="str">
        <f aca="false">IF(AND(AG117&lt;&gt;"",AH117&lt;&gt;""),(AG117+AH117)/2,"")</f>
        <v/>
      </c>
      <c r="AJ117" s="15"/>
      <c r="AK117" s="15"/>
    </row>
    <row r="118" customFormat="false" ht="15" hidden="false" customHeight="false" outlineLevel="0" collapsed="false">
      <c r="A118" s="2" t="str">
        <f aca="false">IF(E118&lt;&gt;"",ROW()-1,"")</f>
        <v/>
      </c>
      <c r="B118" s="3"/>
      <c r="C118" s="3"/>
      <c r="D118" s="3"/>
      <c r="E118" s="4"/>
      <c r="F118" s="4"/>
      <c r="G118" s="5"/>
      <c r="H118" s="4"/>
      <c r="I118" s="4"/>
      <c r="J118" s="4"/>
      <c r="K118" s="4"/>
      <c r="L118" s="6" t="str">
        <f aca="false">IF(AND(G118&lt;&gt;"",H118&gt;0),ROUND(G118/H118,0),"")</f>
        <v/>
      </c>
      <c r="M118" s="6" t="str">
        <f aca="false">IF(F118&lt;&gt;"",IFERROR(VLOOKUP(F118,TablaRef,2,FALSE()),"?"),"")</f>
        <v/>
      </c>
      <c r="N118" s="7" t="str">
        <f aca="false">IF(AND(L118&lt;&gt;"",M118&lt;&gt;"",ISNUMBER(M118)),IF(L118&lt;M118*(1-MargenPct),"🟢",IF(L118&gt;M118*(1+MargenPct),"🔴","🟡")),"")</f>
        <v/>
      </c>
      <c r="O118" s="8" t="str">
        <f aca="false">IF(G118&lt;&gt;"",W118+X118+Y118+Z118+AB118+AC118+AD118,"")</f>
        <v/>
      </c>
      <c r="P118" s="9" t="str">
        <f aca="false">IF(G118&lt;&gt;"",IF(O118&lt;=Presupuesto,"✓","✗"),"")</f>
        <v/>
      </c>
      <c r="Q118" s="10" t="str">
        <f aca="false">IF(G118&lt;&gt;"",Presupuesto-O118,"")</f>
        <v/>
      </c>
      <c r="R118" s="11"/>
      <c r="S118" s="11"/>
      <c r="T118" s="12"/>
      <c r="U118" s="12"/>
      <c r="V118" s="11"/>
      <c r="W118" s="13" t="str">
        <f aca="false">IF(G118&lt;&gt;"",MAX(G118-Credito,G118*0.1),"")</f>
        <v/>
      </c>
      <c r="X118" s="13" t="str">
        <f aca="false">IF(G118&lt;&gt;"",ROUND(G118*0.02*1.21,0),"")</f>
        <v/>
      </c>
      <c r="Y118" s="13" t="str">
        <f aca="false">IF(G118&lt;&gt;"",IF(G118&lt;=140000,0,ROUND(G118*0.0175,0)),"")</f>
        <v/>
      </c>
      <c r="Z118" s="13" t="str">
        <f aca="false">IF(G118&lt;&gt;"",ROUND(G118*0.004,0),"")</f>
        <v/>
      </c>
      <c r="AA118" s="14"/>
      <c r="AB118" s="13" t="str">
        <f aca="false">IF(G118&lt;&gt;"",IF(AA118="Sí",ROUND(G118*0.04*1.21,0),0),"")</f>
        <v/>
      </c>
      <c r="AC118" s="13" t="str">
        <f aca="false">IF(G118&lt;&gt;"",ROUND(G118*0.01,0),"")</f>
        <v/>
      </c>
      <c r="AD118" s="13" t="str">
        <f aca="false">IF(G118&lt;&gt;"",300,"")</f>
        <v/>
      </c>
      <c r="AE118" s="15"/>
      <c r="AF118" s="15"/>
      <c r="AG118" s="16"/>
      <c r="AH118" s="16"/>
      <c r="AI118" s="17" t="str">
        <f aca="false">IF(AND(AG118&lt;&gt;"",AH118&lt;&gt;""),(AG118+AH118)/2,"")</f>
        <v/>
      </c>
      <c r="AJ118" s="15"/>
      <c r="AK118" s="15"/>
    </row>
    <row r="119" customFormat="false" ht="15" hidden="false" customHeight="false" outlineLevel="0" collapsed="false">
      <c r="A119" s="2" t="str">
        <f aca="false">IF(E119&lt;&gt;"",ROW()-1,"")</f>
        <v/>
      </c>
      <c r="B119" s="3"/>
      <c r="C119" s="3"/>
      <c r="D119" s="3"/>
      <c r="E119" s="4"/>
      <c r="F119" s="4"/>
      <c r="G119" s="5"/>
      <c r="H119" s="4"/>
      <c r="I119" s="4"/>
      <c r="J119" s="4"/>
      <c r="K119" s="4"/>
      <c r="L119" s="6" t="str">
        <f aca="false">IF(AND(G119&lt;&gt;"",H119&gt;0),ROUND(G119/H119,0),"")</f>
        <v/>
      </c>
      <c r="M119" s="6" t="str">
        <f aca="false">IF(F119&lt;&gt;"",IFERROR(VLOOKUP(F119,TablaRef,2,FALSE()),"?"),"")</f>
        <v/>
      </c>
      <c r="N119" s="7" t="str">
        <f aca="false">IF(AND(L119&lt;&gt;"",M119&lt;&gt;"",ISNUMBER(M119)),IF(L119&lt;M119*(1-MargenPct),"🟢",IF(L119&gt;M119*(1+MargenPct),"🔴","🟡")),"")</f>
        <v/>
      </c>
      <c r="O119" s="8" t="str">
        <f aca="false">IF(G119&lt;&gt;"",W119+X119+Y119+Z119+AB119+AC119+AD119,"")</f>
        <v/>
      </c>
      <c r="P119" s="9" t="str">
        <f aca="false">IF(G119&lt;&gt;"",IF(O119&lt;=Presupuesto,"✓","✗"),"")</f>
        <v/>
      </c>
      <c r="Q119" s="10" t="str">
        <f aca="false">IF(G119&lt;&gt;"",Presupuesto-O119,"")</f>
        <v/>
      </c>
      <c r="R119" s="11"/>
      <c r="S119" s="11"/>
      <c r="T119" s="12"/>
      <c r="U119" s="12"/>
      <c r="V119" s="11"/>
      <c r="W119" s="13" t="str">
        <f aca="false">IF(G119&lt;&gt;"",MAX(G119-Credito,G119*0.1),"")</f>
        <v/>
      </c>
      <c r="X119" s="13" t="str">
        <f aca="false">IF(G119&lt;&gt;"",ROUND(G119*0.02*1.21,0),"")</f>
        <v/>
      </c>
      <c r="Y119" s="13" t="str">
        <f aca="false">IF(G119&lt;&gt;"",IF(G119&lt;=140000,0,ROUND(G119*0.0175,0)),"")</f>
        <v/>
      </c>
      <c r="Z119" s="13" t="str">
        <f aca="false">IF(G119&lt;&gt;"",ROUND(G119*0.004,0),"")</f>
        <v/>
      </c>
      <c r="AA119" s="14"/>
      <c r="AB119" s="13" t="str">
        <f aca="false">IF(G119&lt;&gt;"",IF(AA119="Sí",ROUND(G119*0.04*1.21,0),0),"")</f>
        <v/>
      </c>
      <c r="AC119" s="13" t="str">
        <f aca="false">IF(G119&lt;&gt;"",ROUND(G119*0.01,0),"")</f>
        <v/>
      </c>
      <c r="AD119" s="13" t="str">
        <f aca="false">IF(G119&lt;&gt;"",300,"")</f>
        <v/>
      </c>
      <c r="AE119" s="15"/>
      <c r="AF119" s="15"/>
      <c r="AG119" s="16"/>
      <c r="AH119" s="16"/>
      <c r="AI119" s="17" t="str">
        <f aca="false">IF(AND(AG119&lt;&gt;"",AH119&lt;&gt;""),(AG119+AH119)/2,"")</f>
        <v/>
      </c>
      <c r="AJ119" s="15"/>
      <c r="AK119" s="15"/>
    </row>
    <row r="120" customFormat="false" ht="15" hidden="false" customHeight="false" outlineLevel="0" collapsed="false">
      <c r="A120" s="2" t="str">
        <f aca="false">IF(E120&lt;&gt;"",ROW()-1,"")</f>
        <v/>
      </c>
      <c r="B120" s="3"/>
      <c r="C120" s="3"/>
      <c r="D120" s="3"/>
      <c r="E120" s="4"/>
      <c r="F120" s="4"/>
      <c r="G120" s="5"/>
      <c r="H120" s="4"/>
      <c r="I120" s="4"/>
      <c r="J120" s="4"/>
      <c r="K120" s="4"/>
      <c r="L120" s="6" t="str">
        <f aca="false">IF(AND(G120&lt;&gt;"",H120&gt;0),ROUND(G120/H120,0),"")</f>
        <v/>
      </c>
      <c r="M120" s="6" t="str">
        <f aca="false">IF(F120&lt;&gt;"",IFERROR(VLOOKUP(F120,TablaRef,2,FALSE()),"?"),"")</f>
        <v/>
      </c>
      <c r="N120" s="7" t="str">
        <f aca="false">IF(AND(L120&lt;&gt;"",M120&lt;&gt;"",ISNUMBER(M120)),IF(L120&lt;M120*(1-MargenPct),"🟢",IF(L120&gt;M120*(1+MargenPct),"🔴","🟡")),"")</f>
        <v/>
      </c>
      <c r="O120" s="8" t="str">
        <f aca="false">IF(G120&lt;&gt;"",W120+X120+Y120+Z120+AB120+AC120+AD120,"")</f>
        <v/>
      </c>
      <c r="P120" s="9" t="str">
        <f aca="false">IF(G120&lt;&gt;"",IF(O120&lt;=Presupuesto,"✓","✗"),"")</f>
        <v/>
      </c>
      <c r="Q120" s="10" t="str">
        <f aca="false">IF(G120&lt;&gt;"",Presupuesto-O120,"")</f>
        <v/>
      </c>
      <c r="R120" s="11"/>
      <c r="S120" s="11"/>
      <c r="T120" s="12"/>
      <c r="U120" s="12"/>
      <c r="V120" s="11"/>
      <c r="W120" s="13" t="str">
        <f aca="false">IF(G120&lt;&gt;"",MAX(G120-Credito,G120*0.1),"")</f>
        <v/>
      </c>
      <c r="X120" s="13" t="str">
        <f aca="false">IF(G120&lt;&gt;"",ROUND(G120*0.02*1.21,0),"")</f>
        <v/>
      </c>
      <c r="Y120" s="13" t="str">
        <f aca="false">IF(G120&lt;&gt;"",IF(G120&lt;=140000,0,ROUND(G120*0.0175,0)),"")</f>
        <v/>
      </c>
      <c r="Z120" s="13" t="str">
        <f aca="false">IF(G120&lt;&gt;"",ROUND(G120*0.004,0),"")</f>
        <v/>
      </c>
      <c r="AA120" s="14"/>
      <c r="AB120" s="13" t="str">
        <f aca="false">IF(G120&lt;&gt;"",IF(AA120="Sí",ROUND(G120*0.04*1.21,0),0),"")</f>
        <v/>
      </c>
      <c r="AC120" s="13" t="str">
        <f aca="false">IF(G120&lt;&gt;"",ROUND(G120*0.01,0),"")</f>
        <v/>
      </c>
      <c r="AD120" s="13" t="str">
        <f aca="false">IF(G120&lt;&gt;"",300,"")</f>
        <v/>
      </c>
      <c r="AE120" s="15"/>
      <c r="AF120" s="15"/>
      <c r="AG120" s="16"/>
      <c r="AH120" s="16"/>
      <c r="AI120" s="17" t="str">
        <f aca="false">IF(AND(AG120&lt;&gt;"",AH120&lt;&gt;""),(AG120+AH120)/2,"")</f>
        <v/>
      </c>
      <c r="AJ120" s="15"/>
      <c r="AK120" s="15"/>
    </row>
    <row r="121" customFormat="false" ht="15" hidden="false" customHeight="false" outlineLevel="0" collapsed="false">
      <c r="A121" s="2" t="str">
        <f aca="false">IF(E121&lt;&gt;"",ROW()-1,"")</f>
        <v/>
      </c>
      <c r="B121" s="3"/>
      <c r="C121" s="3"/>
      <c r="D121" s="3"/>
      <c r="E121" s="4"/>
      <c r="F121" s="4"/>
      <c r="G121" s="5"/>
      <c r="H121" s="4"/>
      <c r="I121" s="4"/>
      <c r="J121" s="4"/>
      <c r="K121" s="4"/>
      <c r="L121" s="6" t="str">
        <f aca="false">IF(AND(G121&lt;&gt;"",H121&gt;0),ROUND(G121/H121,0),"")</f>
        <v/>
      </c>
      <c r="M121" s="6" t="str">
        <f aca="false">IF(F121&lt;&gt;"",IFERROR(VLOOKUP(F121,TablaRef,2,FALSE()),"?"),"")</f>
        <v/>
      </c>
      <c r="N121" s="7" t="str">
        <f aca="false">IF(AND(L121&lt;&gt;"",M121&lt;&gt;"",ISNUMBER(M121)),IF(L121&lt;M121*(1-MargenPct),"🟢",IF(L121&gt;M121*(1+MargenPct),"🔴","🟡")),"")</f>
        <v/>
      </c>
      <c r="O121" s="8" t="str">
        <f aca="false">IF(G121&lt;&gt;"",W121+X121+Y121+Z121+AB121+AC121+AD121,"")</f>
        <v/>
      </c>
      <c r="P121" s="9" t="str">
        <f aca="false">IF(G121&lt;&gt;"",IF(O121&lt;=Presupuesto,"✓","✗"),"")</f>
        <v/>
      </c>
      <c r="Q121" s="10" t="str">
        <f aca="false">IF(G121&lt;&gt;"",Presupuesto-O121,"")</f>
        <v/>
      </c>
      <c r="R121" s="11"/>
      <c r="S121" s="11"/>
      <c r="T121" s="12"/>
      <c r="U121" s="12"/>
      <c r="V121" s="11"/>
      <c r="W121" s="13" t="str">
        <f aca="false">IF(G121&lt;&gt;"",MAX(G121-Credito,G121*0.1),"")</f>
        <v/>
      </c>
      <c r="X121" s="13" t="str">
        <f aca="false">IF(G121&lt;&gt;"",ROUND(G121*0.02*1.21,0),"")</f>
        <v/>
      </c>
      <c r="Y121" s="13" t="str">
        <f aca="false">IF(G121&lt;&gt;"",IF(G121&lt;=140000,0,ROUND(G121*0.0175,0)),"")</f>
        <v/>
      </c>
      <c r="Z121" s="13" t="str">
        <f aca="false">IF(G121&lt;&gt;"",ROUND(G121*0.004,0),"")</f>
        <v/>
      </c>
      <c r="AA121" s="14"/>
      <c r="AB121" s="13" t="str">
        <f aca="false">IF(G121&lt;&gt;"",IF(AA121="Sí",ROUND(G121*0.04*1.21,0),0),"")</f>
        <v/>
      </c>
      <c r="AC121" s="13" t="str">
        <f aca="false">IF(G121&lt;&gt;"",ROUND(G121*0.01,0),"")</f>
        <v/>
      </c>
      <c r="AD121" s="13" t="str">
        <f aca="false">IF(G121&lt;&gt;"",300,"")</f>
        <v/>
      </c>
      <c r="AE121" s="15"/>
      <c r="AF121" s="15"/>
      <c r="AG121" s="16"/>
      <c r="AH121" s="16"/>
      <c r="AI121" s="17" t="str">
        <f aca="false">IF(AND(AG121&lt;&gt;"",AH121&lt;&gt;""),(AG121+AH121)/2,"")</f>
        <v/>
      </c>
      <c r="AJ121" s="15"/>
      <c r="AK121" s="15"/>
    </row>
    <row r="122" customFormat="false" ht="15" hidden="false" customHeight="false" outlineLevel="0" collapsed="false">
      <c r="A122" s="2" t="str">
        <f aca="false">IF(E122&lt;&gt;"",ROW()-1,"")</f>
        <v/>
      </c>
      <c r="B122" s="3"/>
      <c r="C122" s="3"/>
      <c r="D122" s="3"/>
      <c r="E122" s="4"/>
      <c r="F122" s="4"/>
      <c r="G122" s="5"/>
      <c r="H122" s="4"/>
      <c r="I122" s="4"/>
      <c r="J122" s="4"/>
      <c r="K122" s="4"/>
      <c r="L122" s="6" t="str">
        <f aca="false">IF(AND(G122&lt;&gt;"",H122&gt;0),ROUND(G122/H122,0),"")</f>
        <v/>
      </c>
      <c r="M122" s="6" t="str">
        <f aca="false">IF(F122&lt;&gt;"",IFERROR(VLOOKUP(F122,TablaRef,2,FALSE()),"?"),"")</f>
        <v/>
      </c>
      <c r="N122" s="7" t="str">
        <f aca="false">IF(AND(L122&lt;&gt;"",M122&lt;&gt;"",ISNUMBER(M122)),IF(L122&lt;M122*(1-MargenPct),"🟢",IF(L122&gt;M122*(1+MargenPct),"🔴","🟡")),"")</f>
        <v/>
      </c>
      <c r="O122" s="8" t="str">
        <f aca="false">IF(G122&lt;&gt;"",W122+X122+Y122+Z122+AB122+AC122+AD122,"")</f>
        <v/>
      </c>
      <c r="P122" s="9" t="str">
        <f aca="false">IF(G122&lt;&gt;"",IF(O122&lt;=Presupuesto,"✓","✗"),"")</f>
        <v/>
      </c>
      <c r="Q122" s="10" t="str">
        <f aca="false">IF(G122&lt;&gt;"",Presupuesto-O122,"")</f>
        <v/>
      </c>
      <c r="R122" s="11"/>
      <c r="S122" s="11"/>
      <c r="T122" s="12"/>
      <c r="U122" s="12"/>
      <c r="V122" s="11"/>
      <c r="W122" s="13" t="str">
        <f aca="false">IF(G122&lt;&gt;"",MAX(G122-Credito,G122*0.1),"")</f>
        <v/>
      </c>
      <c r="X122" s="13" t="str">
        <f aca="false">IF(G122&lt;&gt;"",ROUND(G122*0.02*1.21,0),"")</f>
        <v/>
      </c>
      <c r="Y122" s="13" t="str">
        <f aca="false">IF(G122&lt;&gt;"",IF(G122&lt;=140000,0,ROUND(G122*0.0175,0)),"")</f>
        <v/>
      </c>
      <c r="Z122" s="13" t="str">
        <f aca="false">IF(G122&lt;&gt;"",ROUND(G122*0.004,0),"")</f>
        <v/>
      </c>
      <c r="AA122" s="14"/>
      <c r="AB122" s="13" t="str">
        <f aca="false">IF(G122&lt;&gt;"",IF(AA122="Sí",ROUND(G122*0.04*1.21,0),0),"")</f>
        <v/>
      </c>
      <c r="AC122" s="13" t="str">
        <f aca="false">IF(G122&lt;&gt;"",ROUND(G122*0.01,0),"")</f>
        <v/>
      </c>
      <c r="AD122" s="13" t="str">
        <f aca="false">IF(G122&lt;&gt;"",300,"")</f>
        <v/>
      </c>
      <c r="AE122" s="15"/>
      <c r="AF122" s="15"/>
      <c r="AG122" s="16"/>
      <c r="AH122" s="16"/>
      <c r="AI122" s="17" t="str">
        <f aca="false">IF(AND(AG122&lt;&gt;"",AH122&lt;&gt;""),(AG122+AH122)/2,"")</f>
        <v/>
      </c>
      <c r="AJ122" s="15"/>
      <c r="AK122" s="15"/>
    </row>
    <row r="123" customFormat="false" ht="15" hidden="false" customHeight="false" outlineLevel="0" collapsed="false">
      <c r="A123" s="2" t="str">
        <f aca="false">IF(E123&lt;&gt;"",ROW()-1,"")</f>
        <v/>
      </c>
      <c r="B123" s="3"/>
      <c r="C123" s="3"/>
      <c r="D123" s="3"/>
      <c r="E123" s="4"/>
      <c r="F123" s="4"/>
      <c r="G123" s="5"/>
      <c r="H123" s="4"/>
      <c r="I123" s="4"/>
      <c r="J123" s="4"/>
      <c r="K123" s="4"/>
      <c r="L123" s="6" t="str">
        <f aca="false">IF(AND(G123&lt;&gt;"",H123&gt;0),ROUND(G123/H123,0),"")</f>
        <v/>
      </c>
      <c r="M123" s="6" t="str">
        <f aca="false">IF(F123&lt;&gt;"",IFERROR(VLOOKUP(F123,TablaRef,2,FALSE()),"?"),"")</f>
        <v/>
      </c>
      <c r="N123" s="7" t="str">
        <f aca="false">IF(AND(L123&lt;&gt;"",M123&lt;&gt;"",ISNUMBER(M123)),IF(L123&lt;M123*(1-MargenPct),"🟢",IF(L123&gt;M123*(1+MargenPct),"🔴","🟡")),"")</f>
        <v/>
      </c>
      <c r="O123" s="8" t="str">
        <f aca="false">IF(G123&lt;&gt;"",W123+X123+Y123+Z123+AB123+AC123+AD123,"")</f>
        <v/>
      </c>
      <c r="P123" s="9" t="str">
        <f aca="false">IF(G123&lt;&gt;"",IF(O123&lt;=Presupuesto,"✓","✗"),"")</f>
        <v/>
      </c>
      <c r="Q123" s="10" t="str">
        <f aca="false">IF(G123&lt;&gt;"",Presupuesto-O123,"")</f>
        <v/>
      </c>
      <c r="R123" s="11"/>
      <c r="S123" s="11"/>
      <c r="T123" s="12"/>
      <c r="U123" s="12"/>
      <c r="V123" s="11"/>
      <c r="W123" s="13" t="str">
        <f aca="false">IF(G123&lt;&gt;"",MAX(G123-Credito,G123*0.1),"")</f>
        <v/>
      </c>
      <c r="X123" s="13" t="str">
        <f aca="false">IF(G123&lt;&gt;"",ROUND(G123*0.02*1.21,0),"")</f>
        <v/>
      </c>
      <c r="Y123" s="13" t="str">
        <f aca="false">IF(G123&lt;&gt;"",IF(G123&lt;=140000,0,ROUND(G123*0.0175,0)),"")</f>
        <v/>
      </c>
      <c r="Z123" s="13" t="str">
        <f aca="false">IF(G123&lt;&gt;"",ROUND(G123*0.004,0),"")</f>
        <v/>
      </c>
      <c r="AA123" s="14"/>
      <c r="AB123" s="13" t="str">
        <f aca="false">IF(G123&lt;&gt;"",IF(AA123="Sí",ROUND(G123*0.04*1.21,0),0),"")</f>
        <v/>
      </c>
      <c r="AC123" s="13" t="str">
        <f aca="false">IF(G123&lt;&gt;"",ROUND(G123*0.01,0),"")</f>
        <v/>
      </c>
      <c r="AD123" s="13" t="str">
        <f aca="false">IF(G123&lt;&gt;"",300,"")</f>
        <v/>
      </c>
      <c r="AE123" s="15"/>
      <c r="AF123" s="15"/>
      <c r="AG123" s="16"/>
      <c r="AH123" s="16"/>
      <c r="AI123" s="17" t="str">
        <f aca="false">IF(AND(AG123&lt;&gt;"",AH123&lt;&gt;""),(AG123+AH123)/2,"")</f>
        <v/>
      </c>
      <c r="AJ123" s="15"/>
      <c r="AK123" s="15"/>
    </row>
    <row r="124" customFormat="false" ht="15" hidden="false" customHeight="false" outlineLevel="0" collapsed="false">
      <c r="A124" s="2" t="str">
        <f aca="false">IF(E124&lt;&gt;"",ROW()-1,"")</f>
        <v/>
      </c>
      <c r="B124" s="3"/>
      <c r="C124" s="3"/>
      <c r="D124" s="3"/>
      <c r="E124" s="4"/>
      <c r="F124" s="4"/>
      <c r="G124" s="5"/>
      <c r="H124" s="4"/>
      <c r="I124" s="4"/>
      <c r="J124" s="4"/>
      <c r="K124" s="4"/>
      <c r="L124" s="6" t="str">
        <f aca="false">IF(AND(G124&lt;&gt;"",H124&gt;0),ROUND(G124/H124,0),"")</f>
        <v/>
      </c>
      <c r="M124" s="6" t="str">
        <f aca="false">IF(F124&lt;&gt;"",IFERROR(VLOOKUP(F124,TablaRef,2,FALSE()),"?"),"")</f>
        <v/>
      </c>
      <c r="N124" s="7" t="str">
        <f aca="false">IF(AND(L124&lt;&gt;"",M124&lt;&gt;"",ISNUMBER(M124)),IF(L124&lt;M124*(1-MargenPct),"🟢",IF(L124&gt;M124*(1+MargenPct),"🔴","🟡")),"")</f>
        <v/>
      </c>
      <c r="O124" s="8" t="str">
        <f aca="false">IF(G124&lt;&gt;"",W124+X124+Y124+Z124+AB124+AC124+AD124,"")</f>
        <v/>
      </c>
      <c r="P124" s="9" t="str">
        <f aca="false">IF(G124&lt;&gt;"",IF(O124&lt;=Presupuesto,"✓","✗"),"")</f>
        <v/>
      </c>
      <c r="Q124" s="10" t="str">
        <f aca="false">IF(G124&lt;&gt;"",Presupuesto-O124,"")</f>
        <v/>
      </c>
      <c r="R124" s="11"/>
      <c r="S124" s="11"/>
      <c r="T124" s="12"/>
      <c r="U124" s="12"/>
      <c r="V124" s="11"/>
      <c r="W124" s="13" t="str">
        <f aca="false">IF(G124&lt;&gt;"",MAX(G124-Credito,G124*0.1),"")</f>
        <v/>
      </c>
      <c r="X124" s="13" t="str">
        <f aca="false">IF(G124&lt;&gt;"",ROUND(G124*0.02*1.21,0),"")</f>
        <v/>
      </c>
      <c r="Y124" s="13" t="str">
        <f aca="false">IF(G124&lt;&gt;"",IF(G124&lt;=140000,0,ROUND(G124*0.0175,0)),"")</f>
        <v/>
      </c>
      <c r="Z124" s="13" t="str">
        <f aca="false">IF(G124&lt;&gt;"",ROUND(G124*0.004,0),"")</f>
        <v/>
      </c>
      <c r="AA124" s="14"/>
      <c r="AB124" s="13" t="str">
        <f aca="false">IF(G124&lt;&gt;"",IF(AA124="Sí",ROUND(G124*0.04*1.21,0),0),"")</f>
        <v/>
      </c>
      <c r="AC124" s="13" t="str">
        <f aca="false">IF(G124&lt;&gt;"",ROUND(G124*0.01,0),"")</f>
        <v/>
      </c>
      <c r="AD124" s="13" t="str">
        <f aca="false">IF(G124&lt;&gt;"",300,"")</f>
        <v/>
      </c>
      <c r="AE124" s="15"/>
      <c r="AF124" s="15"/>
      <c r="AG124" s="16"/>
      <c r="AH124" s="16"/>
      <c r="AI124" s="17" t="str">
        <f aca="false">IF(AND(AG124&lt;&gt;"",AH124&lt;&gt;""),(AG124+AH124)/2,"")</f>
        <v/>
      </c>
      <c r="AJ124" s="15"/>
      <c r="AK124" s="15"/>
    </row>
    <row r="125" customFormat="false" ht="15" hidden="false" customHeight="false" outlineLevel="0" collapsed="false">
      <c r="A125" s="2" t="str">
        <f aca="false">IF(E125&lt;&gt;"",ROW()-1,"")</f>
        <v/>
      </c>
      <c r="B125" s="3"/>
      <c r="C125" s="3"/>
      <c r="D125" s="3"/>
      <c r="E125" s="4"/>
      <c r="F125" s="4"/>
      <c r="G125" s="5"/>
      <c r="H125" s="4"/>
      <c r="I125" s="4"/>
      <c r="J125" s="4"/>
      <c r="K125" s="4"/>
      <c r="L125" s="6" t="str">
        <f aca="false">IF(AND(G125&lt;&gt;"",H125&gt;0),ROUND(G125/H125,0),"")</f>
        <v/>
      </c>
      <c r="M125" s="6" t="str">
        <f aca="false">IF(F125&lt;&gt;"",IFERROR(VLOOKUP(F125,TablaRef,2,FALSE()),"?"),"")</f>
        <v/>
      </c>
      <c r="N125" s="7" t="str">
        <f aca="false">IF(AND(L125&lt;&gt;"",M125&lt;&gt;"",ISNUMBER(M125)),IF(L125&lt;M125*(1-MargenPct),"🟢",IF(L125&gt;M125*(1+MargenPct),"🔴","🟡")),"")</f>
        <v/>
      </c>
      <c r="O125" s="8" t="str">
        <f aca="false">IF(G125&lt;&gt;"",W125+X125+Y125+Z125+AB125+AC125+AD125,"")</f>
        <v/>
      </c>
      <c r="P125" s="9" t="str">
        <f aca="false">IF(G125&lt;&gt;"",IF(O125&lt;=Presupuesto,"✓","✗"),"")</f>
        <v/>
      </c>
      <c r="Q125" s="10" t="str">
        <f aca="false">IF(G125&lt;&gt;"",Presupuesto-O125,"")</f>
        <v/>
      </c>
      <c r="R125" s="11"/>
      <c r="S125" s="11"/>
      <c r="T125" s="12"/>
      <c r="U125" s="12"/>
      <c r="V125" s="11"/>
      <c r="W125" s="13" t="str">
        <f aca="false">IF(G125&lt;&gt;"",MAX(G125-Credito,G125*0.1),"")</f>
        <v/>
      </c>
      <c r="X125" s="13" t="str">
        <f aca="false">IF(G125&lt;&gt;"",ROUND(G125*0.02*1.21,0),"")</f>
        <v/>
      </c>
      <c r="Y125" s="13" t="str">
        <f aca="false">IF(G125&lt;&gt;"",IF(G125&lt;=140000,0,ROUND(G125*0.0175,0)),"")</f>
        <v/>
      </c>
      <c r="Z125" s="13" t="str">
        <f aca="false">IF(G125&lt;&gt;"",ROUND(G125*0.004,0),"")</f>
        <v/>
      </c>
      <c r="AA125" s="14"/>
      <c r="AB125" s="13" t="str">
        <f aca="false">IF(G125&lt;&gt;"",IF(AA125="Sí",ROUND(G125*0.04*1.21,0),0),"")</f>
        <v/>
      </c>
      <c r="AC125" s="13" t="str">
        <f aca="false">IF(G125&lt;&gt;"",ROUND(G125*0.01,0),"")</f>
        <v/>
      </c>
      <c r="AD125" s="13" t="str">
        <f aca="false">IF(G125&lt;&gt;"",300,"")</f>
        <v/>
      </c>
      <c r="AE125" s="15"/>
      <c r="AF125" s="15"/>
      <c r="AG125" s="16"/>
      <c r="AH125" s="16"/>
      <c r="AI125" s="17" t="str">
        <f aca="false">IF(AND(AG125&lt;&gt;"",AH125&lt;&gt;""),(AG125+AH125)/2,"")</f>
        <v/>
      </c>
      <c r="AJ125" s="15"/>
      <c r="AK125" s="15"/>
    </row>
    <row r="126" customFormat="false" ht="15" hidden="false" customHeight="false" outlineLevel="0" collapsed="false">
      <c r="A126" s="2" t="str">
        <f aca="false">IF(E126&lt;&gt;"",ROW()-1,"")</f>
        <v/>
      </c>
      <c r="B126" s="3"/>
      <c r="C126" s="3"/>
      <c r="D126" s="3"/>
      <c r="E126" s="4"/>
      <c r="F126" s="4"/>
      <c r="G126" s="5"/>
      <c r="H126" s="4"/>
      <c r="I126" s="4"/>
      <c r="J126" s="4"/>
      <c r="K126" s="4"/>
      <c r="L126" s="6" t="str">
        <f aca="false">IF(AND(G126&lt;&gt;"",H126&gt;0),ROUND(G126/H126,0),"")</f>
        <v/>
      </c>
      <c r="M126" s="6" t="str">
        <f aca="false">IF(F126&lt;&gt;"",IFERROR(VLOOKUP(F126,TablaRef,2,FALSE()),"?"),"")</f>
        <v/>
      </c>
      <c r="N126" s="7" t="str">
        <f aca="false">IF(AND(L126&lt;&gt;"",M126&lt;&gt;"",ISNUMBER(M126)),IF(L126&lt;M126*(1-MargenPct),"🟢",IF(L126&gt;M126*(1+MargenPct),"🔴","🟡")),"")</f>
        <v/>
      </c>
      <c r="O126" s="8" t="str">
        <f aca="false">IF(G126&lt;&gt;"",W126+X126+Y126+Z126+AB126+AC126+AD126,"")</f>
        <v/>
      </c>
      <c r="P126" s="9" t="str">
        <f aca="false">IF(G126&lt;&gt;"",IF(O126&lt;=Presupuesto,"✓","✗"),"")</f>
        <v/>
      </c>
      <c r="Q126" s="10" t="str">
        <f aca="false">IF(G126&lt;&gt;"",Presupuesto-O126,"")</f>
        <v/>
      </c>
      <c r="R126" s="11"/>
      <c r="S126" s="11"/>
      <c r="T126" s="12"/>
      <c r="U126" s="12"/>
      <c r="V126" s="11"/>
      <c r="W126" s="13" t="str">
        <f aca="false">IF(G126&lt;&gt;"",MAX(G126-Credito,G126*0.1),"")</f>
        <v/>
      </c>
      <c r="X126" s="13" t="str">
        <f aca="false">IF(G126&lt;&gt;"",ROUND(G126*0.02*1.21,0),"")</f>
        <v/>
      </c>
      <c r="Y126" s="13" t="str">
        <f aca="false">IF(G126&lt;&gt;"",IF(G126&lt;=140000,0,ROUND(G126*0.0175,0)),"")</f>
        <v/>
      </c>
      <c r="Z126" s="13" t="str">
        <f aca="false">IF(G126&lt;&gt;"",ROUND(G126*0.004,0),"")</f>
        <v/>
      </c>
      <c r="AA126" s="14"/>
      <c r="AB126" s="13" t="str">
        <f aca="false">IF(G126&lt;&gt;"",IF(AA126="Sí",ROUND(G126*0.04*1.21,0),0),"")</f>
        <v/>
      </c>
      <c r="AC126" s="13" t="str">
        <f aca="false">IF(G126&lt;&gt;"",ROUND(G126*0.01,0),"")</f>
        <v/>
      </c>
      <c r="AD126" s="13" t="str">
        <f aca="false">IF(G126&lt;&gt;"",300,"")</f>
        <v/>
      </c>
      <c r="AE126" s="15"/>
      <c r="AF126" s="15"/>
      <c r="AG126" s="16"/>
      <c r="AH126" s="16"/>
      <c r="AI126" s="17" t="str">
        <f aca="false">IF(AND(AG126&lt;&gt;"",AH126&lt;&gt;""),(AG126+AH126)/2,"")</f>
        <v/>
      </c>
      <c r="AJ126" s="15"/>
      <c r="AK126" s="15"/>
    </row>
    <row r="127" customFormat="false" ht="15" hidden="false" customHeight="false" outlineLevel="0" collapsed="false">
      <c r="A127" s="2" t="str">
        <f aca="false">IF(E127&lt;&gt;"",ROW()-1,"")</f>
        <v/>
      </c>
      <c r="B127" s="3"/>
      <c r="C127" s="3"/>
      <c r="D127" s="3"/>
      <c r="E127" s="4"/>
      <c r="F127" s="4"/>
      <c r="G127" s="5"/>
      <c r="H127" s="4"/>
      <c r="I127" s="4"/>
      <c r="J127" s="4"/>
      <c r="K127" s="4"/>
      <c r="L127" s="6" t="str">
        <f aca="false">IF(AND(G127&lt;&gt;"",H127&gt;0),ROUND(G127/H127,0),"")</f>
        <v/>
      </c>
      <c r="M127" s="6" t="str">
        <f aca="false">IF(F127&lt;&gt;"",IFERROR(VLOOKUP(F127,TablaRef,2,FALSE()),"?"),"")</f>
        <v/>
      </c>
      <c r="N127" s="7" t="str">
        <f aca="false">IF(AND(L127&lt;&gt;"",M127&lt;&gt;"",ISNUMBER(M127)),IF(L127&lt;M127*(1-MargenPct),"🟢",IF(L127&gt;M127*(1+MargenPct),"🔴","🟡")),"")</f>
        <v/>
      </c>
      <c r="O127" s="8" t="str">
        <f aca="false">IF(G127&lt;&gt;"",W127+X127+Y127+Z127+AB127+AC127+AD127,"")</f>
        <v/>
      </c>
      <c r="P127" s="9" t="str">
        <f aca="false">IF(G127&lt;&gt;"",IF(O127&lt;=Presupuesto,"✓","✗"),"")</f>
        <v/>
      </c>
      <c r="Q127" s="10" t="str">
        <f aca="false">IF(G127&lt;&gt;"",Presupuesto-O127,"")</f>
        <v/>
      </c>
      <c r="R127" s="11"/>
      <c r="S127" s="11"/>
      <c r="T127" s="12"/>
      <c r="U127" s="12"/>
      <c r="V127" s="11"/>
      <c r="W127" s="13" t="str">
        <f aca="false">IF(G127&lt;&gt;"",MAX(G127-Credito,G127*0.1),"")</f>
        <v/>
      </c>
      <c r="X127" s="13" t="str">
        <f aca="false">IF(G127&lt;&gt;"",ROUND(G127*0.02*1.21,0),"")</f>
        <v/>
      </c>
      <c r="Y127" s="13" t="str">
        <f aca="false">IF(G127&lt;&gt;"",IF(G127&lt;=140000,0,ROUND(G127*0.0175,0)),"")</f>
        <v/>
      </c>
      <c r="Z127" s="13" t="str">
        <f aca="false">IF(G127&lt;&gt;"",ROUND(G127*0.004,0),"")</f>
        <v/>
      </c>
      <c r="AA127" s="14"/>
      <c r="AB127" s="13" t="str">
        <f aca="false">IF(G127&lt;&gt;"",IF(AA127="Sí",ROUND(G127*0.04*1.21,0),0),"")</f>
        <v/>
      </c>
      <c r="AC127" s="13" t="str">
        <f aca="false">IF(G127&lt;&gt;"",ROUND(G127*0.01,0),"")</f>
        <v/>
      </c>
      <c r="AD127" s="13" t="str">
        <f aca="false">IF(G127&lt;&gt;"",300,"")</f>
        <v/>
      </c>
      <c r="AE127" s="15"/>
      <c r="AF127" s="15"/>
      <c r="AG127" s="16"/>
      <c r="AH127" s="16"/>
      <c r="AI127" s="17" t="str">
        <f aca="false">IF(AND(AG127&lt;&gt;"",AH127&lt;&gt;""),(AG127+AH127)/2,"")</f>
        <v/>
      </c>
      <c r="AJ127" s="15"/>
      <c r="AK127" s="15"/>
    </row>
    <row r="128" customFormat="false" ht="15" hidden="false" customHeight="false" outlineLevel="0" collapsed="false">
      <c r="A128" s="2" t="str">
        <f aca="false">IF(E128&lt;&gt;"",ROW()-1,"")</f>
        <v/>
      </c>
      <c r="B128" s="3"/>
      <c r="C128" s="3"/>
      <c r="D128" s="3"/>
      <c r="E128" s="4"/>
      <c r="F128" s="4"/>
      <c r="G128" s="5"/>
      <c r="H128" s="4"/>
      <c r="I128" s="4"/>
      <c r="J128" s="4"/>
      <c r="K128" s="4"/>
      <c r="L128" s="6" t="str">
        <f aca="false">IF(AND(G128&lt;&gt;"",H128&gt;0),ROUND(G128/H128,0),"")</f>
        <v/>
      </c>
      <c r="M128" s="6" t="str">
        <f aca="false">IF(F128&lt;&gt;"",IFERROR(VLOOKUP(F128,TablaRef,2,FALSE()),"?"),"")</f>
        <v/>
      </c>
      <c r="N128" s="7" t="str">
        <f aca="false">IF(AND(L128&lt;&gt;"",M128&lt;&gt;"",ISNUMBER(M128)),IF(L128&lt;M128*(1-MargenPct),"🟢",IF(L128&gt;M128*(1+MargenPct),"🔴","🟡")),"")</f>
        <v/>
      </c>
      <c r="O128" s="8" t="str">
        <f aca="false">IF(G128&lt;&gt;"",W128+X128+Y128+Z128+AB128+AC128+AD128,"")</f>
        <v/>
      </c>
      <c r="P128" s="9" t="str">
        <f aca="false">IF(G128&lt;&gt;"",IF(O128&lt;=Presupuesto,"✓","✗"),"")</f>
        <v/>
      </c>
      <c r="Q128" s="10" t="str">
        <f aca="false">IF(G128&lt;&gt;"",Presupuesto-O128,"")</f>
        <v/>
      </c>
      <c r="R128" s="11"/>
      <c r="S128" s="11"/>
      <c r="T128" s="12"/>
      <c r="U128" s="12"/>
      <c r="V128" s="11"/>
      <c r="W128" s="13" t="str">
        <f aca="false">IF(G128&lt;&gt;"",MAX(G128-Credito,G128*0.1),"")</f>
        <v/>
      </c>
      <c r="X128" s="13" t="str">
        <f aca="false">IF(G128&lt;&gt;"",ROUND(G128*0.02*1.21,0),"")</f>
        <v/>
      </c>
      <c r="Y128" s="13" t="str">
        <f aca="false">IF(G128&lt;&gt;"",IF(G128&lt;=140000,0,ROUND(G128*0.0175,0)),"")</f>
        <v/>
      </c>
      <c r="Z128" s="13" t="str">
        <f aca="false">IF(G128&lt;&gt;"",ROUND(G128*0.004,0),"")</f>
        <v/>
      </c>
      <c r="AA128" s="14"/>
      <c r="AB128" s="13" t="str">
        <f aca="false">IF(G128&lt;&gt;"",IF(AA128="Sí",ROUND(G128*0.04*1.21,0),0),"")</f>
        <v/>
      </c>
      <c r="AC128" s="13" t="str">
        <f aca="false">IF(G128&lt;&gt;"",ROUND(G128*0.01,0),"")</f>
        <v/>
      </c>
      <c r="AD128" s="13" t="str">
        <f aca="false">IF(G128&lt;&gt;"",300,"")</f>
        <v/>
      </c>
      <c r="AE128" s="15"/>
      <c r="AF128" s="15"/>
      <c r="AG128" s="16"/>
      <c r="AH128" s="16"/>
      <c r="AI128" s="17" t="str">
        <f aca="false">IF(AND(AG128&lt;&gt;"",AH128&lt;&gt;""),(AG128+AH128)/2,"")</f>
        <v/>
      </c>
      <c r="AJ128" s="15"/>
      <c r="AK128" s="15"/>
    </row>
    <row r="129" customFormat="false" ht="15" hidden="false" customHeight="false" outlineLevel="0" collapsed="false">
      <c r="A129" s="2" t="str">
        <f aca="false">IF(E129&lt;&gt;"",ROW()-1,"")</f>
        <v/>
      </c>
      <c r="B129" s="3"/>
      <c r="C129" s="3"/>
      <c r="D129" s="3"/>
      <c r="E129" s="4"/>
      <c r="F129" s="4"/>
      <c r="G129" s="5"/>
      <c r="H129" s="4"/>
      <c r="I129" s="4"/>
      <c r="J129" s="4"/>
      <c r="K129" s="4"/>
      <c r="L129" s="6" t="str">
        <f aca="false">IF(AND(G129&lt;&gt;"",H129&gt;0),ROUND(G129/H129,0),"")</f>
        <v/>
      </c>
      <c r="M129" s="6" t="str">
        <f aca="false">IF(F129&lt;&gt;"",IFERROR(VLOOKUP(F129,TablaRef,2,FALSE()),"?"),"")</f>
        <v/>
      </c>
      <c r="N129" s="7" t="str">
        <f aca="false">IF(AND(L129&lt;&gt;"",M129&lt;&gt;"",ISNUMBER(M129)),IF(L129&lt;M129*(1-MargenPct),"🟢",IF(L129&gt;M129*(1+MargenPct),"🔴","🟡")),"")</f>
        <v/>
      </c>
      <c r="O129" s="8" t="str">
        <f aca="false">IF(G129&lt;&gt;"",W129+X129+Y129+Z129+AB129+AC129+AD129,"")</f>
        <v/>
      </c>
      <c r="P129" s="9" t="str">
        <f aca="false">IF(G129&lt;&gt;"",IF(O129&lt;=Presupuesto,"✓","✗"),"")</f>
        <v/>
      </c>
      <c r="Q129" s="10" t="str">
        <f aca="false">IF(G129&lt;&gt;"",Presupuesto-O129,"")</f>
        <v/>
      </c>
      <c r="R129" s="11"/>
      <c r="S129" s="11"/>
      <c r="T129" s="12"/>
      <c r="U129" s="12"/>
      <c r="V129" s="11"/>
      <c r="W129" s="13" t="str">
        <f aca="false">IF(G129&lt;&gt;"",MAX(G129-Credito,G129*0.1),"")</f>
        <v/>
      </c>
      <c r="X129" s="13" t="str">
        <f aca="false">IF(G129&lt;&gt;"",ROUND(G129*0.02*1.21,0),"")</f>
        <v/>
      </c>
      <c r="Y129" s="13" t="str">
        <f aca="false">IF(G129&lt;&gt;"",IF(G129&lt;=140000,0,ROUND(G129*0.0175,0)),"")</f>
        <v/>
      </c>
      <c r="Z129" s="13" t="str">
        <f aca="false">IF(G129&lt;&gt;"",ROUND(G129*0.004,0),"")</f>
        <v/>
      </c>
      <c r="AA129" s="14"/>
      <c r="AB129" s="13" t="str">
        <f aca="false">IF(G129&lt;&gt;"",IF(AA129="Sí",ROUND(G129*0.04*1.21,0),0),"")</f>
        <v/>
      </c>
      <c r="AC129" s="13" t="str">
        <f aca="false">IF(G129&lt;&gt;"",ROUND(G129*0.01,0),"")</f>
        <v/>
      </c>
      <c r="AD129" s="13" t="str">
        <f aca="false">IF(G129&lt;&gt;"",300,"")</f>
        <v/>
      </c>
      <c r="AE129" s="15"/>
      <c r="AF129" s="15"/>
      <c r="AG129" s="16"/>
      <c r="AH129" s="16"/>
      <c r="AI129" s="17" t="str">
        <f aca="false">IF(AND(AG129&lt;&gt;"",AH129&lt;&gt;""),(AG129+AH129)/2,"")</f>
        <v/>
      </c>
      <c r="AJ129" s="15"/>
      <c r="AK129" s="15"/>
    </row>
    <row r="130" customFormat="false" ht="15" hidden="false" customHeight="false" outlineLevel="0" collapsed="false">
      <c r="A130" s="2" t="str">
        <f aca="false">IF(E130&lt;&gt;"",ROW()-1,"")</f>
        <v/>
      </c>
      <c r="B130" s="3"/>
      <c r="C130" s="3"/>
      <c r="D130" s="3"/>
      <c r="E130" s="4"/>
      <c r="F130" s="4"/>
      <c r="G130" s="5"/>
      <c r="H130" s="4"/>
      <c r="I130" s="4"/>
      <c r="J130" s="4"/>
      <c r="K130" s="4"/>
      <c r="L130" s="6" t="str">
        <f aca="false">IF(AND(G130&lt;&gt;"",H130&gt;0),ROUND(G130/H130,0),"")</f>
        <v/>
      </c>
      <c r="M130" s="6" t="str">
        <f aca="false">IF(F130&lt;&gt;"",IFERROR(VLOOKUP(F130,TablaRef,2,FALSE()),"?"),"")</f>
        <v/>
      </c>
      <c r="N130" s="7" t="str">
        <f aca="false">IF(AND(L130&lt;&gt;"",M130&lt;&gt;"",ISNUMBER(M130)),IF(L130&lt;M130*(1-MargenPct),"🟢",IF(L130&gt;M130*(1+MargenPct),"🔴","🟡")),"")</f>
        <v/>
      </c>
      <c r="O130" s="8" t="str">
        <f aca="false">IF(G130&lt;&gt;"",W130+X130+Y130+Z130+AB130+AC130+AD130,"")</f>
        <v/>
      </c>
      <c r="P130" s="9" t="str">
        <f aca="false">IF(G130&lt;&gt;"",IF(O130&lt;=Presupuesto,"✓","✗"),"")</f>
        <v/>
      </c>
      <c r="Q130" s="10" t="str">
        <f aca="false">IF(G130&lt;&gt;"",Presupuesto-O130,"")</f>
        <v/>
      </c>
      <c r="R130" s="11"/>
      <c r="S130" s="11"/>
      <c r="T130" s="12"/>
      <c r="U130" s="12"/>
      <c r="V130" s="11"/>
      <c r="W130" s="13" t="str">
        <f aca="false">IF(G130&lt;&gt;"",MAX(G130-Credito,G130*0.1),"")</f>
        <v/>
      </c>
      <c r="X130" s="13" t="str">
        <f aca="false">IF(G130&lt;&gt;"",ROUND(G130*0.02*1.21,0),"")</f>
        <v/>
      </c>
      <c r="Y130" s="13" t="str">
        <f aca="false">IF(G130&lt;&gt;"",IF(G130&lt;=140000,0,ROUND(G130*0.0175,0)),"")</f>
        <v/>
      </c>
      <c r="Z130" s="13" t="str">
        <f aca="false">IF(G130&lt;&gt;"",ROUND(G130*0.004,0),"")</f>
        <v/>
      </c>
      <c r="AA130" s="14"/>
      <c r="AB130" s="13" t="str">
        <f aca="false">IF(G130&lt;&gt;"",IF(AA130="Sí",ROUND(G130*0.04*1.21,0),0),"")</f>
        <v/>
      </c>
      <c r="AC130" s="13" t="str">
        <f aca="false">IF(G130&lt;&gt;"",ROUND(G130*0.01,0),"")</f>
        <v/>
      </c>
      <c r="AD130" s="13" t="str">
        <f aca="false">IF(G130&lt;&gt;"",300,"")</f>
        <v/>
      </c>
      <c r="AE130" s="15"/>
      <c r="AF130" s="15"/>
      <c r="AG130" s="16"/>
      <c r="AH130" s="16"/>
      <c r="AI130" s="17" t="str">
        <f aca="false">IF(AND(AG130&lt;&gt;"",AH130&lt;&gt;""),(AG130+AH130)/2,"")</f>
        <v/>
      </c>
      <c r="AJ130" s="15"/>
      <c r="AK130" s="15"/>
    </row>
    <row r="131" customFormat="false" ht="15" hidden="false" customHeight="false" outlineLevel="0" collapsed="false">
      <c r="A131" s="2" t="str">
        <f aca="false">IF(E131&lt;&gt;"",ROW()-1,"")</f>
        <v/>
      </c>
      <c r="B131" s="3"/>
      <c r="C131" s="3"/>
      <c r="D131" s="3"/>
      <c r="E131" s="4"/>
      <c r="F131" s="4"/>
      <c r="G131" s="5"/>
      <c r="H131" s="4"/>
      <c r="I131" s="4"/>
      <c r="J131" s="4"/>
      <c r="K131" s="4"/>
      <c r="L131" s="6" t="str">
        <f aca="false">IF(AND(G131&lt;&gt;"",H131&gt;0),ROUND(G131/H131,0),"")</f>
        <v/>
      </c>
      <c r="M131" s="6" t="str">
        <f aca="false">IF(F131&lt;&gt;"",IFERROR(VLOOKUP(F131,TablaRef,2,FALSE()),"?"),"")</f>
        <v/>
      </c>
      <c r="N131" s="7" t="str">
        <f aca="false">IF(AND(L131&lt;&gt;"",M131&lt;&gt;"",ISNUMBER(M131)),IF(L131&lt;M131*(1-MargenPct),"🟢",IF(L131&gt;M131*(1+MargenPct),"🔴","🟡")),"")</f>
        <v/>
      </c>
      <c r="O131" s="8" t="str">
        <f aca="false">IF(G131&lt;&gt;"",W131+X131+Y131+Z131+AB131+AC131+AD131,"")</f>
        <v/>
      </c>
      <c r="P131" s="9" t="str">
        <f aca="false">IF(G131&lt;&gt;"",IF(O131&lt;=Presupuesto,"✓","✗"),"")</f>
        <v/>
      </c>
      <c r="Q131" s="10" t="str">
        <f aca="false">IF(G131&lt;&gt;"",Presupuesto-O131,"")</f>
        <v/>
      </c>
      <c r="R131" s="11"/>
      <c r="S131" s="11"/>
      <c r="T131" s="12"/>
      <c r="U131" s="12"/>
      <c r="V131" s="11"/>
      <c r="W131" s="13" t="str">
        <f aca="false">IF(G131&lt;&gt;"",MAX(G131-Credito,G131*0.1),"")</f>
        <v/>
      </c>
      <c r="X131" s="13" t="str">
        <f aca="false">IF(G131&lt;&gt;"",ROUND(G131*0.02*1.21,0),"")</f>
        <v/>
      </c>
      <c r="Y131" s="13" t="str">
        <f aca="false">IF(G131&lt;&gt;"",IF(G131&lt;=140000,0,ROUND(G131*0.0175,0)),"")</f>
        <v/>
      </c>
      <c r="Z131" s="13" t="str">
        <f aca="false">IF(G131&lt;&gt;"",ROUND(G131*0.004,0),"")</f>
        <v/>
      </c>
      <c r="AA131" s="14"/>
      <c r="AB131" s="13" t="str">
        <f aca="false">IF(G131&lt;&gt;"",IF(AA131="Sí",ROUND(G131*0.04*1.21,0),0),"")</f>
        <v/>
      </c>
      <c r="AC131" s="13" t="str">
        <f aca="false">IF(G131&lt;&gt;"",ROUND(G131*0.01,0),"")</f>
        <v/>
      </c>
      <c r="AD131" s="13" t="str">
        <f aca="false">IF(G131&lt;&gt;"",300,"")</f>
        <v/>
      </c>
      <c r="AE131" s="15"/>
      <c r="AF131" s="15"/>
      <c r="AG131" s="16"/>
      <c r="AH131" s="16"/>
      <c r="AI131" s="17" t="str">
        <f aca="false">IF(AND(AG131&lt;&gt;"",AH131&lt;&gt;""),(AG131+AH131)/2,"")</f>
        <v/>
      </c>
      <c r="AJ131" s="15"/>
      <c r="AK131" s="15"/>
    </row>
    <row r="132" customFormat="false" ht="15" hidden="false" customHeight="false" outlineLevel="0" collapsed="false">
      <c r="A132" s="2" t="str">
        <f aca="false">IF(E132&lt;&gt;"",ROW()-1,"")</f>
        <v/>
      </c>
      <c r="B132" s="3"/>
      <c r="C132" s="3"/>
      <c r="D132" s="3"/>
      <c r="E132" s="4"/>
      <c r="F132" s="4"/>
      <c r="G132" s="5"/>
      <c r="H132" s="4"/>
      <c r="I132" s="4"/>
      <c r="J132" s="4"/>
      <c r="K132" s="4"/>
      <c r="L132" s="6" t="str">
        <f aca="false">IF(AND(G132&lt;&gt;"",H132&gt;0),ROUND(G132/H132,0),"")</f>
        <v/>
      </c>
      <c r="M132" s="6" t="str">
        <f aca="false">IF(F132&lt;&gt;"",IFERROR(VLOOKUP(F132,TablaRef,2,FALSE()),"?"),"")</f>
        <v/>
      </c>
      <c r="N132" s="7" t="str">
        <f aca="false">IF(AND(L132&lt;&gt;"",M132&lt;&gt;"",ISNUMBER(M132)),IF(L132&lt;M132*(1-MargenPct),"🟢",IF(L132&gt;M132*(1+MargenPct),"🔴","🟡")),"")</f>
        <v/>
      </c>
      <c r="O132" s="8" t="str">
        <f aca="false">IF(G132&lt;&gt;"",W132+X132+Y132+Z132+AB132+AC132+AD132,"")</f>
        <v/>
      </c>
      <c r="P132" s="9" t="str">
        <f aca="false">IF(G132&lt;&gt;"",IF(O132&lt;=Presupuesto,"✓","✗"),"")</f>
        <v/>
      </c>
      <c r="Q132" s="10" t="str">
        <f aca="false">IF(G132&lt;&gt;"",Presupuesto-O132,"")</f>
        <v/>
      </c>
      <c r="R132" s="11"/>
      <c r="S132" s="11"/>
      <c r="T132" s="12"/>
      <c r="U132" s="12"/>
      <c r="V132" s="11"/>
      <c r="W132" s="13" t="str">
        <f aca="false">IF(G132&lt;&gt;"",MAX(G132-Credito,G132*0.1),"")</f>
        <v/>
      </c>
      <c r="X132" s="13" t="str">
        <f aca="false">IF(G132&lt;&gt;"",ROUND(G132*0.02*1.21,0),"")</f>
        <v/>
      </c>
      <c r="Y132" s="13" t="str">
        <f aca="false">IF(G132&lt;&gt;"",IF(G132&lt;=140000,0,ROUND(G132*0.0175,0)),"")</f>
        <v/>
      </c>
      <c r="Z132" s="13" t="str">
        <f aca="false">IF(G132&lt;&gt;"",ROUND(G132*0.004,0),"")</f>
        <v/>
      </c>
      <c r="AA132" s="14"/>
      <c r="AB132" s="13" t="str">
        <f aca="false">IF(G132&lt;&gt;"",IF(AA132="Sí",ROUND(G132*0.04*1.21,0),0),"")</f>
        <v/>
      </c>
      <c r="AC132" s="13" t="str">
        <f aca="false">IF(G132&lt;&gt;"",ROUND(G132*0.01,0),"")</f>
        <v/>
      </c>
      <c r="AD132" s="13" t="str">
        <f aca="false">IF(G132&lt;&gt;"",300,"")</f>
        <v/>
      </c>
      <c r="AE132" s="15"/>
      <c r="AF132" s="15"/>
      <c r="AG132" s="16"/>
      <c r="AH132" s="16"/>
      <c r="AI132" s="17" t="str">
        <f aca="false">IF(AND(AG132&lt;&gt;"",AH132&lt;&gt;""),(AG132+AH132)/2,"")</f>
        <v/>
      </c>
      <c r="AJ132" s="15"/>
      <c r="AK132" s="15"/>
    </row>
    <row r="133" customFormat="false" ht="15" hidden="false" customHeight="false" outlineLevel="0" collapsed="false">
      <c r="A133" s="2" t="str">
        <f aca="false">IF(E133&lt;&gt;"",ROW()-1,"")</f>
        <v/>
      </c>
      <c r="B133" s="3"/>
      <c r="C133" s="3"/>
      <c r="D133" s="3"/>
      <c r="E133" s="4"/>
      <c r="F133" s="4"/>
      <c r="G133" s="5"/>
      <c r="H133" s="4"/>
      <c r="I133" s="4"/>
      <c r="J133" s="4"/>
      <c r="K133" s="4"/>
      <c r="L133" s="6" t="str">
        <f aca="false">IF(AND(G133&lt;&gt;"",H133&gt;0),ROUND(G133/H133,0),"")</f>
        <v/>
      </c>
      <c r="M133" s="6" t="str">
        <f aca="false">IF(F133&lt;&gt;"",IFERROR(VLOOKUP(F133,TablaRef,2,FALSE()),"?"),"")</f>
        <v/>
      </c>
      <c r="N133" s="7" t="str">
        <f aca="false">IF(AND(L133&lt;&gt;"",M133&lt;&gt;"",ISNUMBER(M133)),IF(L133&lt;M133*(1-MargenPct),"🟢",IF(L133&gt;M133*(1+MargenPct),"🔴","🟡")),"")</f>
        <v/>
      </c>
      <c r="O133" s="8" t="str">
        <f aca="false">IF(G133&lt;&gt;"",W133+X133+Y133+Z133+AB133+AC133+AD133,"")</f>
        <v/>
      </c>
      <c r="P133" s="9" t="str">
        <f aca="false">IF(G133&lt;&gt;"",IF(O133&lt;=Presupuesto,"✓","✗"),"")</f>
        <v/>
      </c>
      <c r="Q133" s="10" t="str">
        <f aca="false">IF(G133&lt;&gt;"",Presupuesto-O133,"")</f>
        <v/>
      </c>
      <c r="R133" s="11"/>
      <c r="S133" s="11"/>
      <c r="T133" s="12"/>
      <c r="U133" s="12"/>
      <c r="V133" s="11"/>
      <c r="W133" s="13" t="str">
        <f aca="false">IF(G133&lt;&gt;"",MAX(G133-Credito,G133*0.1),"")</f>
        <v/>
      </c>
      <c r="X133" s="13" t="str">
        <f aca="false">IF(G133&lt;&gt;"",ROUND(G133*0.02*1.21,0),"")</f>
        <v/>
      </c>
      <c r="Y133" s="13" t="str">
        <f aca="false">IF(G133&lt;&gt;"",IF(G133&lt;=140000,0,ROUND(G133*0.0175,0)),"")</f>
        <v/>
      </c>
      <c r="Z133" s="13" t="str">
        <f aca="false">IF(G133&lt;&gt;"",ROUND(G133*0.004,0),"")</f>
        <v/>
      </c>
      <c r="AA133" s="14"/>
      <c r="AB133" s="13" t="str">
        <f aca="false">IF(G133&lt;&gt;"",IF(AA133="Sí",ROUND(G133*0.04*1.21,0),0),"")</f>
        <v/>
      </c>
      <c r="AC133" s="13" t="str">
        <f aca="false">IF(G133&lt;&gt;"",ROUND(G133*0.01,0),"")</f>
        <v/>
      </c>
      <c r="AD133" s="13" t="str">
        <f aca="false">IF(G133&lt;&gt;"",300,"")</f>
        <v/>
      </c>
      <c r="AE133" s="15"/>
      <c r="AF133" s="15"/>
      <c r="AG133" s="16"/>
      <c r="AH133" s="16"/>
      <c r="AI133" s="17" t="str">
        <f aca="false">IF(AND(AG133&lt;&gt;"",AH133&lt;&gt;""),(AG133+AH133)/2,"")</f>
        <v/>
      </c>
      <c r="AJ133" s="15"/>
      <c r="AK133" s="15"/>
    </row>
    <row r="134" customFormat="false" ht="15" hidden="false" customHeight="false" outlineLevel="0" collapsed="false">
      <c r="A134" s="2" t="str">
        <f aca="false">IF(E134&lt;&gt;"",ROW()-1,"")</f>
        <v/>
      </c>
      <c r="B134" s="3"/>
      <c r="C134" s="3"/>
      <c r="D134" s="3"/>
      <c r="E134" s="4"/>
      <c r="F134" s="4"/>
      <c r="G134" s="5"/>
      <c r="H134" s="4"/>
      <c r="I134" s="4"/>
      <c r="J134" s="4"/>
      <c r="K134" s="4"/>
      <c r="L134" s="6" t="str">
        <f aca="false">IF(AND(G134&lt;&gt;"",H134&gt;0),ROUND(G134/H134,0),"")</f>
        <v/>
      </c>
      <c r="M134" s="6" t="str">
        <f aca="false">IF(F134&lt;&gt;"",IFERROR(VLOOKUP(F134,TablaRef,2,FALSE()),"?"),"")</f>
        <v/>
      </c>
      <c r="N134" s="7" t="str">
        <f aca="false">IF(AND(L134&lt;&gt;"",M134&lt;&gt;"",ISNUMBER(M134)),IF(L134&lt;M134*(1-MargenPct),"🟢",IF(L134&gt;M134*(1+MargenPct),"🔴","🟡")),"")</f>
        <v/>
      </c>
      <c r="O134" s="8" t="str">
        <f aca="false">IF(G134&lt;&gt;"",W134+X134+Y134+Z134+AB134+AC134+AD134,"")</f>
        <v/>
      </c>
      <c r="P134" s="9" t="str">
        <f aca="false">IF(G134&lt;&gt;"",IF(O134&lt;=Presupuesto,"✓","✗"),"")</f>
        <v/>
      </c>
      <c r="Q134" s="10" t="str">
        <f aca="false">IF(G134&lt;&gt;"",Presupuesto-O134,"")</f>
        <v/>
      </c>
      <c r="R134" s="11"/>
      <c r="S134" s="11"/>
      <c r="T134" s="12"/>
      <c r="U134" s="12"/>
      <c r="V134" s="11"/>
      <c r="W134" s="13" t="str">
        <f aca="false">IF(G134&lt;&gt;"",MAX(G134-Credito,G134*0.1),"")</f>
        <v/>
      </c>
      <c r="X134" s="13" t="str">
        <f aca="false">IF(G134&lt;&gt;"",ROUND(G134*0.02*1.21,0),"")</f>
        <v/>
      </c>
      <c r="Y134" s="13" t="str">
        <f aca="false">IF(G134&lt;&gt;"",IF(G134&lt;=140000,0,ROUND(G134*0.0175,0)),"")</f>
        <v/>
      </c>
      <c r="Z134" s="13" t="str">
        <f aca="false">IF(G134&lt;&gt;"",ROUND(G134*0.004,0),"")</f>
        <v/>
      </c>
      <c r="AA134" s="14"/>
      <c r="AB134" s="13" t="str">
        <f aca="false">IF(G134&lt;&gt;"",IF(AA134="Sí",ROUND(G134*0.04*1.21,0),0),"")</f>
        <v/>
      </c>
      <c r="AC134" s="13" t="str">
        <f aca="false">IF(G134&lt;&gt;"",ROUND(G134*0.01,0),"")</f>
        <v/>
      </c>
      <c r="AD134" s="13" t="str">
        <f aca="false">IF(G134&lt;&gt;"",300,"")</f>
        <v/>
      </c>
      <c r="AE134" s="15"/>
      <c r="AF134" s="15"/>
      <c r="AG134" s="16"/>
      <c r="AH134" s="16"/>
      <c r="AI134" s="17" t="str">
        <f aca="false">IF(AND(AG134&lt;&gt;"",AH134&lt;&gt;""),(AG134+AH134)/2,"")</f>
        <v/>
      </c>
      <c r="AJ134" s="15"/>
      <c r="AK134" s="15"/>
    </row>
    <row r="135" customFormat="false" ht="15" hidden="false" customHeight="false" outlineLevel="0" collapsed="false">
      <c r="A135" s="2" t="str">
        <f aca="false">IF(E135&lt;&gt;"",ROW()-1,"")</f>
        <v/>
      </c>
      <c r="B135" s="3"/>
      <c r="C135" s="3"/>
      <c r="D135" s="3"/>
      <c r="E135" s="4"/>
      <c r="F135" s="4"/>
      <c r="G135" s="5"/>
      <c r="H135" s="4"/>
      <c r="I135" s="4"/>
      <c r="J135" s="4"/>
      <c r="K135" s="4"/>
      <c r="L135" s="6" t="str">
        <f aca="false">IF(AND(G135&lt;&gt;"",H135&gt;0),ROUND(G135/H135,0),"")</f>
        <v/>
      </c>
      <c r="M135" s="6" t="str">
        <f aca="false">IF(F135&lt;&gt;"",IFERROR(VLOOKUP(F135,TablaRef,2,FALSE()),"?"),"")</f>
        <v/>
      </c>
      <c r="N135" s="7" t="str">
        <f aca="false">IF(AND(L135&lt;&gt;"",M135&lt;&gt;"",ISNUMBER(M135)),IF(L135&lt;M135*(1-MargenPct),"🟢",IF(L135&gt;M135*(1+MargenPct),"🔴","🟡")),"")</f>
        <v/>
      </c>
      <c r="O135" s="8" t="str">
        <f aca="false">IF(G135&lt;&gt;"",W135+X135+Y135+Z135+AB135+AC135+AD135,"")</f>
        <v/>
      </c>
      <c r="P135" s="9" t="str">
        <f aca="false">IF(G135&lt;&gt;"",IF(O135&lt;=Presupuesto,"✓","✗"),"")</f>
        <v/>
      </c>
      <c r="Q135" s="10" t="str">
        <f aca="false">IF(G135&lt;&gt;"",Presupuesto-O135,"")</f>
        <v/>
      </c>
      <c r="R135" s="11"/>
      <c r="S135" s="11"/>
      <c r="T135" s="12"/>
      <c r="U135" s="12"/>
      <c r="V135" s="11"/>
      <c r="W135" s="13" t="str">
        <f aca="false">IF(G135&lt;&gt;"",MAX(G135-Credito,G135*0.1),"")</f>
        <v/>
      </c>
      <c r="X135" s="13" t="str">
        <f aca="false">IF(G135&lt;&gt;"",ROUND(G135*0.02*1.21,0),"")</f>
        <v/>
      </c>
      <c r="Y135" s="13" t="str">
        <f aca="false">IF(G135&lt;&gt;"",IF(G135&lt;=140000,0,ROUND(G135*0.0175,0)),"")</f>
        <v/>
      </c>
      <c r="Z135" s="13" t="str">
        <f aca="false">IF(G135&lt;&gt;"",ROUND(G135*0.004,0),"")</f>
        <v/>
      </c>
      <c r="AA135" s="14"/>
      <c r="AB135" s="13" t="str">
        <f aca="false">IF(G135&lt;&gt;"",IF(AA135="Sí",ROUND(G135*0.04*1.21,0),0),"")</f>
        <v/>
      </c>
      <c r="AC135" s="13" t="str">
        <f aca="false">IF(G135&lt;&gt;"",ROUND(G135*0.01,0),"")</f>
        <v/>
      </c>
      <c r="AD135" s="13" t="str">
        <f aca="false">IF(G135&lt;&gt;"",300,"")</f>
        <v/>
      </c>
      <c r="AE135" s="15"/>
      <c r="AF135" s="15"/>
      <c r="AG135" s="16"/>
      <c r="AH135" s="16"/>
      <c r="AI135" s="17" t="str">
        <f aca="false">IF(AND(AG135&lt;&gt;"",AH135&lt;&gt;""),(AG135+AH135)/2,"")</f>
        <v/>
      </c>
      <c r="AJ135" s="15"/>
      <c r="AK135" s="15"/>
    </row>
    <row r="136" customFormat="false" ht="15" hidden="false" customHeight="false" outlineLevel="0" collapsed="false">
      <c r="A136" s="2" t="str">
        <f aca="false">IF(E136&lt;&gt;"",ROW()-1,"")</f>
        <v/>
      </c>
      <c r="B136" s="3"/>
      <c r="C136" s="3"/>
      <c r="D136" s="3"/>
      <c r="E136" s="4"/>
      <c r="F136" s="4"/>
      <c r="G136" s="5"/>
      <c r="H136" s="4"/>
      <c r="I136" s="4"/>
      <c r="J136" s="4"/>
      <c r="K136" s="4"/>
      <c r="L136" s="6" t="str">
        <f aca="false">IF(AND(G136&lt;&gt;"",H136&gt;0),ROUND(G136/H136,0),"")</f>
        <v/>
      </c>
      <c r="M136" s="6" t="str">
        <f aca="false">IF(F136&lt;&gt;"",IFERROR(VLOOKUP(F136,TablaRef,2,FALSE()),"?"),"")</f>
        <v/>
      </c>
      <c r="N136" s="7" t="str">
        <f aca="false">IF(AND(L136&lt;&gt;"",M136&lt;&gt;"",ISNUMBER(M136)),IF(L136&lt;M136*(1-MargenPct),"🟢",IF(L136&gt;M136*(1+MargenPct),"🔴","🟡")),"")</f>
        <v/>
      </c>
      <c r="O136" s="8" t="str">
        <f aca="false">IF(G136&lt;&gt;"",W136+X136+Y136+Z136+AB136+AC136+AD136,"")</f>
        <v/>
      </c>
      <c r="P136" s="9" t="str">
        <f aca="false">IF(G136&lt;&gt;"",IF(O136&lt;=Presupuesto,"✓","✗"),"")</f>
        <v/>
      </c>
      <c r="Q136" s="10" t="str">
        <f aca="false">IF(G136&lt;&gt;"",Presupuesto-O136,"")</f>
        <v/>
      </c>
      <c r="R136" s="11"/>
      <c r="S136" s="11"/>
      <c r="T136" s="12"/>
      <c r="U136" s="12"/>
      <c r="V136" s="11"/>
      <c r="W136" s="13" t="str">
        <f aca="false">IF(G136&lt;&gt;"",MAX(G136-Credito,G136*0.1),"")</f>
        <v/>
      </c>
      <c r="X136" s="13" t="str">
        <f aca="false">IF(G136&lt;&gt;"",ROUND(G136*0.02*1.21,0),"")</f>
        <v/>
      </c>
      <c r="Y136" s="13" t="str">
        <f aca="false">IF(G136&lt;&gt;"",IF(G136&lt;=140000,0,ROUND(G136*0.0175,0)),"")</f>
        <v/>
      </c>
      <c r="Z136" s="13" t="str">
        <f aca="false">IF(G136&lt;&gt;"",ROUND(G136*0.004,0),"")</f>
        <v/>
      </c>
      <c r="AA136" s="14"/>
      <c r="AB136" s="13" t="str">
        <f aca="false">IF(G136&lt;&gt;"",IF(AA136="Sí",ROUND(G136*0.04*1.21,0),0),"")</f>
        <v/>
      </c>
      <c r="AC136" s="13" t="str">
        <f aca="false">IF(G136&lt;&gt;"",ROUND(G136*0.01,0),"")</f>
        <v/>
      </c>
      <c r="AD136" s="13" t="str">
        <f aca="false">IF(G136&lt;&gt;"",300,"")</f>
        <v/>
      </c>
      <c r="AE136" s="15"/>
      <c r="AF136" s="15"/>
      <c r="AG136" s="16"/>
      <c r="AH136" s="16"/>
      <c r="AI136" s="17" t="str">
        <f aca="false">IF(AND(AG136&lt;&gt;"",AH136&lt;&gt;""),(AG136+AH136)/2,"")</f>
        <v/>
      </c>
      <c r="AJ136" s="15"/>
      <c r="AK136" s="15"/>
    </row>
    <row r="137" customFormat="false" ht="15" hidden="false" customHeight="false" outlineLevel="0" collapsed="false">
      <c r="A137" s="2" t="str">
        <f aca="false">IF(E137&lt;&gt;"",ROW()-1,"")</f>
        <v/>
      </c>
      <c r="B137" s="3"/>
      <c r="C137" s="3"/>
      <c r="D137" s="3"/>
      <c r="E137" s="4"/>
      <c r="F137" s="4"/>
      <c r="G137" s="5"/>
      <c r="H137" s="4"/>
      <c r="I137" s="4"/>
      <c r="J137" s="4"/>
      <c r="K137" s="4"/>
      <c r="L137" s="6" t="str">
        <f aca="false">IF(AND(G137&lt;&gt;"",H137&gt;0),ROUND(G137/H137,0),"")</f>
        <v/>
      </c>
      <c r="M137" s="6" t="str">
        <f aca="false">IF(F137&lt;&gt;"",IFERROR(VLOOKUP(F137,TablaRef,2,FALSE()),"?"),"")</f>
        <v/>
      </c>
      <c r="N137" s="7" t="str">
        <f aca="false">IF(AND(L137&lt;&gt;"",M137&lt;&gt;"",ISNUMBER(M137)),IF(L137&lt;M137*(1-MargenPct),"🟢",IF(L137&gt;M137*(1+MargenPct),"🔴","🟡")),"")</f>
        <v/>
      </c>
      <c r="O137" s="8" t="str">
        <f aca="false">IF(G137&lt;&gt;"",W137+X137+Y137+Z137+AB137+AC137+AD137,"")</f>
        <v/>
      </c>
      <c r="P137" s="9" t="str">
        <f aca="false">IF(G137&lt;&gt;"",IF(O137&lt;=Presupuesto,"✓","✗"),"")</f>
        <v/>
      </c>
      <c r="Q137" s="10" t="str">
        <f aca="false">IF(G137&lt;&gt;"",Presupuesto-O137,"")</f>
        <v/>
      </c>
      <c r="R137" s="11"/>
      <c r="S137" s="11"/>
      <c r="T137" s="12"/>
      <c r="U137" s="12"/>
      <c r="V137" s="11"/>
      <c r="W137" s="13" t="str">
        <f aca="false">IF(G137&lt;&gt;"",MAX(G137-Credito,G137*0.1),"")</f>
        <v/>
      </c>
      <c r="X137" s="13" t="str">
        <f aca="false">IF(G137&lt;&gt;"",ROUND(G137*0.02*1.21,0),"")</f>
        <v/>
      </c>
      <c r="Y137" s="13" t="str">
        <f aca="false">IF(G137&lt;&gt;"",IF(G137&lt;=140000,0,ROUND(G137*0.0175,0)),"")</f>
        <v/>
      </c>
      <c r="Z137" s="13" t="str">
        <f aca="false">IF(G137&lt;&gt;"",ROUND(G137*0.004,0),"")</f>
        <v/>
      </c>
      <c r="AA137" s="14"/>
      <c r="AB137" s="13" t="str">
        <f aca="false">IF(G137&lt;&gt;"",IF(AA137="Sí",ROUND(G137*0.04*1.21,0),0),"")</f>
        <v/>
      </c>
      <c r="AC137" s="13" t="str">
        <f aca="false">IF(G137&lt;&gt;"",ROUND(G137*0.01,0),"")</f>
        <v/>
      </c>
      <c r="AD137" s="13" t="str">
        <f aca="false">IF(G137&lt;&gt;"",300,"")</f>
        <v/>
      </c>
      <c r="AE137" s="15"/>
      <c r="AF137" s="15"/>
      <c r="AG137" s="16"/>
      <c r="AH137" s="16"/>
      <c r="AI137" s="17" t="str">
        <f aca="false">IF(AND(AG137&lt;&gt;"",AH137&lt;&gt;""),(AG137+AH137)/2,"")</f>
        <v/>
      </c>
      <c r="AJ137" s="15"/>
      <c r="AK137" s="15"/>
    </row>
    <row r="138" customFormat="false" ht="15" hidden="false" customHeight="false" outlineLevel="0" collapsed="false">
      <c r="A138" s="2" t="str">
        <f aca="false">IF(E138&lt;&gt;"",ROW()-1,"")</f>
        <v/>
      </c>
      <c r="B138" s="3"/>
      <c r="C138" s="3"/>
      <c r="D138" s="3"/>
      <c r="E138" s="4"/>
      <c r="F138" s="4"/>
      <c r="G138" s="5"/>
      <c r="H138" s="4"/>
      <c r="I138" s="4"/>
      <c r="J138" s="4"/>
      <c r="K138" s="4"/>
      <c r="L138" s="6" t="str">
        <f aca="false">IF(AND(G138&lt;&gt;"",H138&gt;0),ROUND(G138/H138,0),"")</f>
        <v/>
      </c>
      <c r="M138" s="6" t="str">
        <f aca="false">IF(F138&lt;&gt;"",IFERROR(VLOOKUP(F138,TablaRef,2,FALSE()),"?"),"")</f>
        <v/>
      </c>
      <c r="N138" s="7" t="str">
        <f aca="false">IF(AND(L138&lt;&gt;"",M138&lt;&gt;"",ISNUMBER(M138)),IF(L138&lt;M138*(1-MargenPct),"🟢",IF(L138&gt;M138*(1+MargenPct),"🔴","🟡")),"")</f>
        <v/>
      </c>
      <c r="O138" s="8" t="str">
        <f aca="false">IF(G138&lt;&gt;"",W138+X138+Y138+Z138+AB138+AC138+AD138,"")</f>
        <v/>
      </c>
      <c r="P138" s="9" t="str">
        <f aca="false">IF(G138&lt;&gt;"",IF(O138&lt;=Presupuesto,"✓","✗"),"")</f>
        <v/>
      </c>
      <c r="Q138" s="10" t="str">
        <f aca="false">IF(G138&lt;&gt;"",Presupuesto-O138,"")</f>
        <v/>
      </c>
      <c r="R138" s="11"/>
      <c r="S138" s="11"/>
      <c r="T138" s="12"/>
      <c r="U138" s="12"/>
      <c r="V138" s="11"/>
      <c r="W138" s="13" t="str">
        <f aca="false">IF(G138&lt;&gt;"",MAX(G138-Credito,G138*0.1),"")</f>
        <v/>
      </c>
      <c r="X138" s="13" t="str">
        <f aca="false">IF(G138&lt;&gt;"",ROUND(G138*0.02*1.21,0),"")</f>
        <v/>
      </c>
      <c r="Y138" s="13" t="str">
        <f aca="false">IF(G138&lt;&gt;"",IF(G138&lt;=140000,0,ROUND(G138*0.0175,0)),"")</f>
        <v/>
      </c>
      <c r="Z138" s="13" t="str">
        <f aca="false">IF(G138&lt;&gt;"",ROUND(G138*0.004,0),"")</f>
        <v/>
      </c>
      <c r="AA138" s="14"/>
      <c r="AB138" s="13" t="str">
        <f aca="false">IF(G138&lt;&gt;"",IF(AA138="Sí",ROUND(G138*0.04*1.21,0),0),"")</f>
        <v/>
      </c>
      <c r="AC138" s="13" t="str">
        <f aca="false">IF(G138&lt;&gt;"",ROUND(G138*0.01,0),"")</f>
        <v/>
      </c>
      <c r="AD138" s="13" t="str">
        <f aca="false">IF(G138&lt;&gt;"",300,"")</f>
        <v/>
      </c>
      <c r="AE138" s="15"/>
      <c r="AF138" s="15"/>
      <c r="AG138" s="16"/>
      <c r="AH138" s="16"/>
      <c r="AI138" s="17" t="str">
        <f aca="false">IF(AND(AG138&lt;&gt;"",AH138&lt;&gt;""),(AG138+AH138)/2,"")</f>
        <v/>
      </c>
      <c r="AJ138" s="15"/>
      <c r="AK138" s="15"/>
    </row>
    <row r="139" customFormat="false" ht="15" hidden="false" customHeight="false" outlineLevel="0" collapsed="false">
      <c r="A139" s="2" t="str">
        <f aca="false">IF(E139&lt;&gt;"",ROW()-1,"")</f>
        <v/>
      </c>
      <c r="B139" s="3"/>
      <c r="C139" s="3"/>
      <c r="D139" s="3"/>
      <c r="E139" s="4"/>
      <c r="F139" s="4"/>
      <c r="G139" s="5"/>
      <c r="H139" s="4"/>
      <c r="I139" s="4"/>
      <c r="J139" s="4"/>
      <c r="K139" s="4"/>
      <c r="L139" s="6" t="str">
        <f aca="false">IF(AND(G139&lt;&gt;"",H139&gt;0),ROUND(G139/H139,0),"")</f>
        <v/>
      </c>
      <c r="M139" s="6" t="str">
        <f aca="false">IF(F139&lt;&gt;"",IFERROR(VLOOKUP(F139,TablaRef,2,FALSE()),"?"),"")</f>
        <v/>
      </c>
      <c r="N139" s="7" t="str">
        <f aca="false">IF(AND(L139&lt;&gt;"",M139&lt;&gt;"",ISNUMBER(M139)),IF(L139&lt;M139*(1-MargenPct),"🟢",IF(L139&gt;M139*(1+MargenPct),"🔴","🟡")),"")</f>
        <v/>
      </c>
      <c r="O139" s="8" t="str">
        <f aca="false">IF(G139&lt;&gt;"",W139+X139+Y139+Z139+AB139+AC139+AD139,"")</f>
        <v/>
      </c>
      <c r="P139" s="9" t="str">
        <f aca="false">IF(G139&lt;&gt;"",IF(O139&lt;=Presupuesto,"✓","✗"),"")</f>
        <v/>
      </c>
      <c r="Q139" s="10" t="str">
        <f aca="false">IF(G139&lt;&gt;"",Presupuesto-O139,"")</f>
        <v/>
      </c>
      <c r="R139" s="11"/>
      <c r="S139" s="11"/>
      <c r="T139" s="12"/>
      <c r="U139" s="12"/>
      <c r="V139" s="11"/>
      <c r="W139" s="13" t="str">
        <f aca="false">IF(G139&lt;&gt;"",MAX(G139-Credito,G139*0.1),"")</f>
        <v/>
      </c>
      <c r="X139" s="13" t="str">
        <f aca="false">IF(G139&lt;&gt;"",ROUND(G139*0.02*1.21,0),"")</f>
        <v/>
      </c>
      <c r="Y139" s="13" t="str">
        <f aca="false">IF(G139&lt;&gt;"",IF(G139&lt;=140000,0,ROUND(G139*0.0175,0)),"")</f>
        <v/>
      </c>
      <c r="Z139" s="13" t="str">
        <f aca="false">IF(G139&lt;&gt;"",ROUND(G139*0.004,0),"")</f>
        <v/>
      </c>
      <c r="AA139" s="14"/>
      <c r="AB139" s="13" t="str">
        <f aca="false">IF(G139&lt;&gt;"",IF(AA139="Sí",ROUND(G139*0.04*1.21,0),0),"")</f>
        <v/>
      </c>
      <c r="AC139" s="13" t="str">
        <f aca="false">IF(G139&lt;&gt;"",ROUND(G139*0.01,0),"")</f>
        <v/>
      </c>
      <c r="AD139" s="13" t="str">
        <f aca="false">IF(G139&lt;&gt;"",300,"")</f>
        <v/>
      </c>
      <c r="AE139" s="15"/>
      <c r="AF139" s="15"/>
      <c r="AG139" s="16"/>
      <c r="AH139" s="16"/>
      <c r="AI139" s="17" t="str">
        <f aca="false">IF(AND(AG139&lt;&gt;"",AH139&lt;&gt;""),(AG139+AH139)/2,"")</f>
        <v/>
      </c>
      <c r="AJ139" s="15"/>
      <c r="AK139" s="15"/>
    </row>
    <row r="140" customFormat="false" ht="15" hidden="false" customHeight="false" outlineLevel="0" collapsed="false">
      <c r="A140" s="2" t="str">
        <f aca="false">IF(E140&lt;&gt;"",ROW()-1,"")</f>
        <v/>
      </c>
      <c r="B140" s="3"/>
      <c r="C140" s="3"/>
      <c r="D140" s="3"/>
      <c r="E140" s="4"/>
      <c r="F140" s="4"/>
      <c r="G140" s="5"/>
      <c r="H140" s="4"/>
      <c r="I140" s="4"/>
      <c r="J140" s="4"/>
      <c r="K140" s="4"/>
      <c r="L140" s="6" t="str">
        <f aca="false">IF(AND(G140&lt;&gt;"",H140&gt;0),ROUND(G140/H140,0),"")</f>
        <v/>
      </c>
      <c r="M140" s="6" t="str">
        <f aca="false">IF(F140&lt;&gt;"",IFERROR(VLOOKUP(F140,TablaRef,2,FALSE()),"?"),"")</f>
        <v/>
      </c>
      <c r="N140" s="7" t="str">
        <f aca="false">IF(AND(L140&lt;&gt;"",M140&lt;&gt;"",ISNUMBER(M140)),IF(L140&lt;M140*(1-MargenPct),"🟢",IF(L140&gt;M140*(1+MargenPct),"🔴","🟡")),"")</f>
        <v/>
      </c>
      <c r="O140" s="8" t="str">
        <f aca="false">IF(G140&lt;&gt;"",W140+X140+Y140+Z140+AB140+AC140+AD140,"")</f>
        <v/>
      </c>
      <c r="P140" s="9" t="str">
        <f aca="false">IF(G140&lt;&gt;"",IF(O140&lt;=Presupuesto,"✓","✗"),"")</f>
        <v/>
      </c>
      <c r="Q140" s="10" t="str">
        <f aca="false">IF(G140&lt;&gt;"",Presupuesto-O140,"")</f>
        <v/>
      </c>
      <c r="R140" s="11"/>
      <c r="S140" s="11"/>
      <c r="T140" s="12"/>
      <c r="U140" s="12"/>
      <c r="V140" s="11"/>
      <c r="W140" s="13" t="str">
        <f aca="false">IF(G140&lt;&gt;"",MAX(G140-Credito,G140*0.1),"")</f>
        <v/>
      </c>
      <c r="X140" s="13" t="str">
        <f aca="false">IF(G140&lt;&gt;"",ROUND(G140*0.02*1.21,0),"")</f>
        <v/>
      </c>
      <c r="Y140" s="13" t="str">
        <f aca="false">IF(G140&lt;&gt;"",IF(G140&lt;=140000,0,ROUND(G140*0.0175,0)),"")</f>
        <v/>
      </c>
      <c r="Z140" s="13" t="str">
        <f aca="false">IF(G140&lt;&gt;"",ROUND(G140*0.004,0),"")</f>
        <v/>
      </c>
      <c r="AA140" s="14"/>
      <c r="AB140" s="13" t="str">
        <f aca="false">IF(G140&lt;&gt;"",IF(AA140="Sí",ROUND(G140*0.04*1.21,0),0),"")</f>
        <v/>
      </c>
      <c r="AC140" s="13" t="str">
        <f aca="false">IF(G140&lt;&gt;"",ROUND(G140*0.01,0),"")</f>
        <v/>
      </c>
      <c r="AD140" s="13" t="str">
        <f aca="false">IF(G140&lt;&gt;"",300,"")</f>
        <v/>
      </c>
      <c r="AE140" s="15"/>
      <c r="AF140" s="15"/>
      <c r="AG140" s="16"/>
      <c r="AH140" s="16"/>
      <c r="AI140" s="17" t="str">
        <f aca="false">IF(AND(AG140&lt;&gt;"",AH140&lt;&gt;""),(AG140+AH140)/2,"")</f>
        <v/>
      </c>
      <c r="AJ140" s="15"/>
      <c r="AK140" s="15"/>
    </row>
    <row r="141" customFormat="false" ht="15" hidden="false" customHeight="false" outlineLevel="0" collapsed="false">
      <c r="A141" s="2" t="str">
        <f aca="false">IF(E141&lt;&gt;"",ROW()-1,"")</f>
        <v/>
      </c>
      <c r="B141" s="3"/>
      <c r="C141" s="3"/>
      <c r="D141" s="3"/>
      <c r="E141" s="4"/>
      <c r="F141" s="4"/>
      <c r="G141" s="5"/>
      <c r="H141" s="4"/>
      <c r="I141" s="4"/>
      <c r="J141" s="4"/>
      <c r="K141" s="4"/>
      <c r="L141" s="6" t="str">
        <f aca="false">IF(AND(G141&lt;&gt;"",H141&gt;0),ROUND(G141/H141,0),"")</f>
        <v/>
      </c>
      <c r="M141" s="6" t="str">
        <f aca="false">IF(F141&lt;&gt;"",IFERROR(VLOOKUP(F141,TablaRef,2,FALSE()),"?"),"")</f>
        <v/>
      </c>
      <c r="N141" s="7" t="str">
        <f aca="false">IF(AND(L141&lt;&gt;"",M141&lt;&gt;"",ISNUMBER(M141)),IF(L141&lt;M141*(1-MargenPct),"🟢",IF(L141&gt;M141*(1+MargenPct),"🔴","🟡")),"")</f>
        <v/>
      </c>
      <c r="O141" s="8" t="str">
        <f aca="false">IF(G141&lt;&gt;"",W141+X141+Y141+Z141+AB141+AC141+AD141,"")</f>
        <v/>
      </c>
      <c r="P141" s="9" t="str">
        <f aca="false">IF(G141&lt;&gt;"",IF(O141&lt;=Presupuesto,"✓","✗"),"")</f>
        <v/>
      </c>
      <c r="Q141" s="10" t="str">
        <f aca="false">IF(G141&lt;&gt;"",Presupuesto-O141,"")</f>
        <v/>
      </c>
      <c r="R141" s="11"/>
      <c r="S141" s="11"/>
      <c r="T141" s="12"/>
      <c r="U141" s="12"/>
      <c r="V141" s="11"/>
      <c r="W141" s="13" t="str">
        <f aca="false">IF(G141&lt;&gt;"",MAX(G141-Credito,G141*0.1),"")</f>
        <v/>
      </c>
      <c r="X141" s="13" t="str">
        <f aca="false">IF(G141&lt;&gt;"",ROUND(G141*0.02*1.21,0),"")</f>
        <v/>
      </c>
      <c r="Y141" s="13" t="str">
        <f aca="false">IF(G141&lt;&gt;"",IF(G141&lt;=140000,0,ROUND(G141*0.0175,0)),"")</f>
        <v/>
      </c>
      <c r="Z141" s="13" t="str">
        <f aca="false">IF(G141&lt;&gt;"",ROUND(G141*0.004,0),"")</f>
        <v/>
      </c>
      <c r="AA141" s="14"/>
      <c r="AB141" s="13" t="str">
        <f aca="false">IF(G141&lt;&gt;"",IF(AA141="Sí",ROUND(G141*0.04*1.21,0),0),"")</f>
        <v/>
      </c>
      <c r="AC141" s="13" t="str">
        <f aca="false">IF(G141&lt;&gt;"",ROUND(G141*0.01,0),"")</f>
        <v/>
      </c>
      <c r="AD141" s="13" t="str">
        <f aca="false">IF(G141&lt;&gt;"",300,"")</f>
        <v/>
      </c>
      <c r="AE141" s="15"/>
      <c r="AF141" s="15"/>
      <c r="AG141" s="16"/>
      <c r="AH141" s="16"/>
      <c r="AI141" s="17" t="str">
        <f aca="false">IF(AND(AG141&lt;&gt;"",AH141&lt;&gt;""),(AG141+AH141)/2,"")</f>
        <v/>
      </c>
      <c r="AJ141" s="15"/>
      <c r="AK141" s="15"/>
    </row>
    <row r="142" customFormat="false" ht="15" hidden="false" customHeight="false" outlineLevel="0" collapsed="false">
      <c r="A142" s="2" t="str">
        <f aca="false">IF(E142&lt;&gt;"",ROW()-1,"")</f>
        <v/>
      </c>
      <c r="B142" s="3"/>
      <c r="C142" s="3"/>
      <c r="D142" s="3"/>
      <c r="E142" s="4"/>
      <c r="F142" s="4"/>
      <c r="G142" s="5"/>
      <c r="H142" s="4"/>
      <c r="I142" s="4"/>
      <c r="J142" s="4"/>
      <c r="K142" s="4"/>
      <c r="L142" s="6" t="str">
        <f aca="false">IF(AND(G142&lt;&gt;"",H142&gt;0),ROUND(G142/H142,0),"")</f>
        <v/>
      </c>
      <c r="M142" s="6" t="str">
        <f aca="false">IF(F142&lt;&gt;"",IFERROR(VLOOKUP(F142,TablaRef,2,FALSE()),"?"),"")</f>
        <v/>
      </c>
      <c r="N142" s="7" t="str">
        <f aca="false">IF(AND(L142&lt;&gt;"",M142&lt;&gt;"",ISNUMBER(M142)),IF(L142&lt;M142*(1-MargenPct),"🟢",IF(L142&gt;M142*(1+MargenPct),"🔴","🟡")),"")</f>
        <v/>
      </c>
      <c r="O142" s="8" t="str">
        <f aca="false">IF(G142&lt;&gt;"",W142+X142+Y142+Z142+AB142+AC142+AD142,"")</f>
        <v/>
      </c>
      <c r="P142" s="9" t="str">
        <f aca="false">IF(G142&lt;&gt;"",IF(O142&lt;=Presupuesto,"✓","✗"),"")</f>
        <v/>
      </c>
      <c r="Q142" s="10" t="str">
        <f aca="false">IF(G142&lt;&gt;"",Presupuesto-O142,"")</f>
        <v/>
      </c>
      <c r="R142" s="11"/>
      <c r="S142" s="11"/>
      <c r="T142" s="12"/>
      <c r="U142" s="12"/>
      <c r="V142" s="11"/>
      <c r="W142" s="13" t="str">
        <f aca="false">IF(G142&lt;&gt;"",MAX(G142-Credito,G142*0.1),"")</f>
        <v/>
      </c>
      <c r="X142" s="13" t="str">
        <f aca="false">IF(G142&lt;&gt;"",ROUND(G142*0.02*1.21,0),"")</f>
        <v/>
      </c>
      <c r="Y142" s="13" t="str">
        <f aca="false">IF(G142&lt;&gt;"",IF(G142&lt;=140000,0,ROUND(G142*0.0175,0)),"")</f>
        <v/>
      </c>
      <c r="Z142" s="13" t="str">
        <f aca="false">IF(G142&lt;&gt;"",ROUND(G142*0.004,0),"")</f>
        <v/>
      </c>
      <c r="AA142" s="14"/>
      <c r="AB142" s="13" t="str">
        <f aca="false">IF(G142&lt;&gt;"",IF(AA142="Sí",ROUND(G142*0.04*1.21,0),0),"")</f>
        <v/>
      </c>
      <c r="AC142" s="13" t="str">
        <f aca="false">IF(G142&lt;&gt;"",ROUND(G142*0.01,0),"")</f>
        <v/>
      </c>
      <c r="AD142" s="13" t="str">
        <f aca="false">IF(G142&lt;&gt;"",300,"")</f>
        <v/>
      </c>
      <c r="AE142" s="15"/>
      <c r="AF142" s="15"/>
      <c r="AG142" s="16"/>
      <c r="AH142" s="16"/>
      <c r="AI142" s="17" t="str">
        <f aca="false">IF(AND(AG142&lt;&gt;"",AH142&lt;&gt;""),(AG142+AH142)/2,"")</f>
        <v/>
      </c>
      <c r="AJ142" s="15"/>
      <c r="AK142" s="15"/>
    </row>
    <row r="143" customFormat="false" ht="15" hidden="false" customHeight="false" outlineLevel="0" collapsed="false">
      <c r="A143" s="2" t="str">
        <f aca="false">IF(E143&lt;&gt;"",ROW()-1,"")</f>
        <v/>
      </c>
      <c r="B143" s="3"/>
      <c r="C143" s="3"/>
      <c r="D143" s="3"/>
      <c r="E143" s="4"/>
      <c r="F143" s="4"/>
      <c r="G143" s="5"/>
      <c r="H143" s="4"/>
      <c r="I143" s="4"/>
      <c r="J143" s="4"/>
      <c r="K143" s="4"/>
      <c r="L143" s="6" t="str">
        <f aca="false">IF(AND(G143&lt;&gt;"",H143&gt;0),ROUND(G143/H143,0),"")</f>
        <v/>
      </c>
      <c r="M143" s="6" t="str">
        <f aca="false">IF(F143&lt;&gt;"",IFERROR(VLOOKUP(F143,TablaRef,2,FALSE()),"?"),"")</f>
        <v/>
      </c>
      <c r="N143" s="7" t="str">
        <f aca="false">IF(AND(L143&lt;&gt;"",M143&lt;&gt;"",ISNUMBER(M143)),IF(L143&lt;M143*(1-MargenPct),"🟢",IF(L143&gt;M143*(1+MargenPct),"🔴","🟡")),"")</f>
        <v/>
      </c>
      <c r="O143" s="8" t="str">
        <f aca="false">IF(G143&lt;&gt;"",W143+X143+Y143+Z143+AB143+AC143+AD143,"")</f>
        <v/>
      </c>
      <c r="P143" s="9" t="str">
        <f aca="false">IF(G143&lt;&gt;"",IF(O143&lt;=Presupuesto,"✓","✗"),"")</f>
        <v/>
      </c>
      <c r="Q143" s="10" t="str">
        <f aca="false">IF(G143&lt;&gt;"",Presupuesto-O143,"")</f>
        <v/>
      </c>
      <c r="R143" s="11"/>
      <c r="S143" s="11"/>
      <c r="T143" s="12"/>
      <c r="U143" s="12"/>
      <c r="V143" s="11"/>
      <c r="W143" s="13" t="str">
        <f aca="false">IF(G143&lt;&gt;"",MAX(G143-Credito,G143*0.1),"")</f>
        <v/>
      </c>
      <c r="X143" s="13" t="str">
        <f aca="false">IF(G143&lt;&gt;"",ROUND(G143*0.02*1.21,0),"")</f>
        <v/>
      </c>
      <c r="Y143" s="13" t="str">
        <f aca="false">IF(G143&lt;&gt;"",IF(G143&lt;=140000,0,ROUND(G143*0.0175,0)),"")</f>
        <v/>
      </c>
      <c r="Z143" s="13" t="str">
        <f aca="false">IF(G143&lt;&gt;"",ROUND(G143*0.004,0),"")</f>
        <v/>
      </c>
      <c r="AA143" s="14"/>
      <c r="AB143" s="13" t="str">
        <f aca="false">IF(G143&lt;&gt;"",IF(AA143="Sí",ROUND(G143*0.04*1.21,0),0),"")</f>
        <v/>
      </c>
      <c r="AC143" s="13" t="str">
        <f aca="false">IF(G143&lt;&gt;"",ROUND(G143*0.01,0),"")</f>
        <v/>
      </c>
      <c r="AD143" s="13" t="str">
        <f aca="false">IF(G143&lt;&gt;"",300,"")</f>
        <v/>
      </c>
      <c r="AE143" s="15"/>
      <c r="AF143" s="15"/>
      <c r="AG143" s="16"/>
      <c r="AH143" s="16"/>
      <c r="AI143" s="17" t="str">
        <f aca="false">IF(AND(AG143&lt;&gt;"",AH143&lt;&gt;""),(AG143+AH143)/2,"")</f>
        <v/>
      </c>
      <c r="AJ143" s="15"/>
      <c r="AK143" s="15"/>
    </row>
    <row r="144" customFormat="false" ht="15" hidden="false" customHeight="false" outlineLevel="0" collapsed="false">
      <c r="A144" s="2" t="str">
        <f aca="false">IF(E144&lt;&gt;"",ROW()-1,"")</f>
        <v/>
      </c>
      <c r="B144" s="3"/>
      <c r="C144" s="3"/>
      <c r="D144" s="3"/>
      <c r="E144" s="4"/>
      <c r="F144" s="4"/>
      <c r="G144" s="5"/>
      <c r="H144" s="4"/>
      <c r="I144" s="4"/>
      <c r="J144" s="4"/>
      <c r="K144" s="4"/>
      <c r="L144" s="6" t="str">
        <f aca="false">IF(AND(G144&lt;&gt;"",H144&gt;0),ROUND(G144/H144,0),"")</f>
        <v/>
      </c>
      <c r="M144" s="6" t="str">
        <f aca="false">IF(F144&lt;&gt;"",IFERROR(VLOOKUP(F144,TablaRef,2,FALSE()),"?"),"")</f>
        <v/>
      </c>
      <c r="N144" s="7" t="str">
        <f aca="false">IF(AND(L144&lt;&gt;"",M144&lt;&gt;"",ISNUMBER(M144)),IF(L144&lt;M144*(1-MargenPct),"🟢",IF(L144&gt;M144*(1+MargenPct),"🔴","🟡")),"")</f>
        <v/>
      </c>
      <c r="O144" s="8" t="str">
        <f aca="false">IF(G144&lt;&gt;"",W144+X144+Y144+Z144+AB144+AC144+AD144,"")</f>
        <v/>
      </c>
      <c r="P144" s="9" t="str">
        <f aca="false">IF(G144&lt;&gt;"",IF(O144&lt;=Presupuesto,"✓","✗"),"")</f>
        <v/>
      </c>
      <c r="Q144" s="10" t="str">
        <f aca="false">IF(G144&lt;&gt;"",Presupuesto-O144,"")</f>
        <v/>
      </c>
      <c r="R144" s="11"/>
      <c r="S144" s="11"/>
      <c r="T144" s="12"/>
      <c r="U144" s="12"/>
      <c r="V144" s="11"/>
      <c r="W144" s="13" t="str">
        <f aca="false">IF(G144&lt;&gt;"",MAX(G144-Credito,G144*0.1),"")</f>
        <v/>
      </c>
      <c r="X144" s="13" t="str">
        <f aca="false">IF(G144&lt;&gt;"",ROUND(G144*0.02*1.21,0),"")</f>
        <v/>
      </c>
      <c r="Y144" s="13" t="str">
        <f aca="false">IF(G144&lt;&gt;"",IF(G144&lt;=140000,0,ROUND(G144*0.0175,0)),"")</f>
        <v/>
      </c>
      <c r="Z144" s="13" t="str">
        <f aca="false">IF(G144&lt;&gt;"",ROUND(G144*0.004,0),"")</f>
        <v/>
      </c>
      <c r="AA144" s="14"/>
      <c r="AB144" s="13" t="str">
        <f aca="false">IF(G144&lt;&gt;"",IF(AA144="Sí",ROUND(G144*0.04*1.21,0),0),"")</f>
        <v/>
      </c>
      <c r="AC144" s="13" t="str">
        <f aca="false">IF(G144&lt;&gt;"",ROUND(G144*0.01,0),"")</f>
        <v/>
      </c>
      <c r="AD144" s="13" t="str">
        <f aca="false">IF(G144&lt;&gt;"",300,"")</f>
        <v/>
      </c>
      <c r="AE144" s="15"/>
      <c r="AF144" s="15"/>
      <c r="AG144" s="16"/>
      <c r="AH144" s="16"/>
      <c r="AI144" s="17" t="str">
        <f aca="false">IF(AND(AG144&lt;&gt;"",AH144&lt;&gt;""),(AG144+AH144)/2,"")</f>
        <v/>
      </c>
      <c r="AJ144" s="15"/>
      <c r="AK144" s="15"/>
    </row>
    <row r="145" customFormat="false" ht="15" hidden="false" customHeight="false" outlineLevel="0" collapsed="false">
      <c r="A145" s="2" t="str">
        <f aca="false">IF(E145&lt;&gt;"",ROW()-1,"")</f>
        <v/>
      </c>
      <c r="B145" s="3"/>
      <c r="C145" s="3"/>
      <c r="D145" s="3"/>
      <c r="E145" s="4"/>
      <c r="F145" s="4"/>
      <c r="G145" s="5"/>
      <c r="H145" s="4"/>
      <c r="I145" s="4"/>
      <c r="J145" s="4"/>
      <c r="K145" s="4"/>
      <c r="L145" s="6" t="str">
        <f aca="false">IF(AND(G145&lt;&gt;"",H145&gt;0),ROUND(G145/H145,0),"")</f>
        <v/>
      </c>
      <c r="M145" s="6" t="str">
        <f aca="false">IF(F145&lt;&gt;"",IFERROR(VLOOKUP(F145,TablaRef,2,FALSE()),"?"),"")</f>
        <v/>
      </c>
      <c r="N145" s="7" t="str">
        <f aca="false">IF(AND(L145&lt;&gt;"",M145&lt;&gt;"",ISNUMBER(M145)),IF(L145&lt;M145*(1-MargenPct),"🟢",IF(L145&gt;M145*(1+MargenPct),"🔴","🟡")),"")</f>
        <v/>
      </c>
      <c r="O145" s="8" t="str">
        <f aca="false">IF(G145&lt;&gt;"",W145+X145+Y145+Z145+AB145+AC145+AD145,"")</f>
        <v/>
      </c>
      <c r="P145" s="9" t="str">
        <f aca="false">IF(G145&lt;&gt;"",IF(O145&lt;=Presupuesto,"✓","✗"),"")</f>
        <v/>
      </c>
      <c r="Q145" s="10" t="str">
        <f aca="false">IF(G145&lt;&gt;"",Presupuesto-O145,"")</f>
        <v/>
      </c>
      <c r="R145" s="11"/>
      <c r="S145" s="11"/>
      <c r="T145" s="12"/>
      <c r="U145" s="12"/>
      <c r="V145" s="11"/>
      <c r="W145" s="13" t="str">
        <f aca="false">IF(G145&lt;&gt;"",MAX(G145-Credito,G145*0.1),"")</f>
        <v/>
      </c>
      <c r="X145" s="13" t="str">
        <f aca="false">IF(G145&lt;&gt;"",ROUND(G145*0.02*1.21,0),"")</f>
        <v/>
      </c>
      <c r="Y145" s="13" t="str">
        <f aca="false">IF(G145&lt;&gt;"",IF(G145&lt;=140000,0,ROUND(G145*0.0175,0)),"")</f>
        <v/>
      </c>
      <c r="Z145" s="13" t="str">
        <f aca="false">IF(G145&lt;&gt;"",ROUND(G145*0.004,0),"")</f>
        <v/>
      </c>
      <c r="AA145" s="14"/>
      <c r="AB145" s="13" t="str">
        <f aca="false">IF(G145&lt;&gt;"",IF(AA145="Sí",ROUND(G145*0.04*1.21,0),0),"")</f>
        <v/>
      </c>
      <c r="AC145" s="13" t="str">
        <f aca="false">IF(G145&lt;&gt;"",ROUND(G145*0.01,0),"")</f>
        <v/>
      </c>
      <c r="AD145" s="13" t="str">
        <f aca="false">IF(G145&lt;&gt;"",300,"")</f>
        <v/>
      </c>
      <c r="AE145" s="15"/>
      <c r="AF145" s="15"/>
      <c r="AG145" s="16"/>
      <c r="AH145" s="16"/>
      <c r="AI145" s="17" t="str">
        <f aca="false">IF(AND(AG145&lt;&gt;"",AH145&lt;&gt;""),(AG145+AH145)/2,"")</f>
        <v/>
      </c>
      <c r="AJ145" s="15"/>
      <c r="AK145" s="15"/>
    </row>
    <row r="146" customFormat="false" ht="15" hidden="false" customHeight="false" outlineLevel="0" collapsed="false">
      <c r="A146" s="2" t="str">
        <f aca="false">IF(E146&lt;&gt;"",ROW()-1,"")</f>
        <v/>
      </c>
      <c r="B146" s="3"/>
      <c r="C146" s="3"/>
      <c r="D146" s="3"/>
      <c r="E146" s="4"/>
      <c r="F146" s="4"/>
      <c r="G146" s="5"/>
      <c r="H146" s="4"/>
      <c r="I146" s="4"/>
      <c r="J146" s="4"/>
      <c r="K146" s="4"/>
      <c r="L146" s="6" t="str">
        <f aca="false">IF(AND(G146&lt;&gt;"",H146&gt;0),ROUND(G146/H146,0),"")</f>
        <v/>
      </c>
      <c r="M146" s="6" t="str">
        <f aca="false">IF(F146&lt;&gt;"",IFERROR(VLOOKUP(F146,TablaRef,2,FALSE()),"?"),"")</f>
        <v/>
      </c>
      <c r="N146" s="7" t="str">
        <f aca="false">IF(AND(L146&lt;&gt;"",M146&lt;&gt;"",ISNUMBER(M146)),IF(L146&lt;M146*(1-MargenPct),"🟢",IF(L146&gt;M146*(1+MargenPct),"🔴","🟡")),"")</f>
        <v/>
      </c>
      <c r="O146" s="8" t="str">
        <f aca="false">IF(G146&lt;&gt;"",W146+X146+Y146+Z146+AB146+AC146+AD146,"")</f>
        <v/>
      </c>
      <c r="P146" s="9" t="str">
        <f aca="false">IF(G146&lt;&gt;"",IF(O146&lt;=Presupuesto,"✓","✗"),"")</f>
        <v/>
      </c>
      <c r="Q146" s="10" t="str">
        <f aca="false">IF(G146&lt;&gt;"",Presupuesto-O146,"")</f>
        <v/>
      </c>
      <c r="R146" s="11"/>
      <c r="S146" s="11"/>
      <c r="T146" s="12"/>
      <c r="U146" s="12"/>
      <c r="V146" s="11"/>
      <c r="W146" s="13" t="str">
        <f aca="false">IF(G146&lt;&gt;"",MAX(G146-Credito,G146*0.1),"")</f>
        <v/>
      </c>
      <c r="X146" s="13" t="str">
        <f aca="false">IF(G146&lt;&gt;"",ROUND(G146*0.02*1.21,0),"")</f>
        <v/>
      </c>
      <c r="Y146" s="13" t="str">
        <f aca="false">IF(G146&lt;&gt;"",IF(G146&lt;=140000,0,ROUND(G146*0.0175,0)),"")</f>
        <v/>
      </c>
      <c r="Z146" s="13" t="str">
        <f aca="false">IF(G146&lt;&gt;"",ROUND(G146*0.004,0),"")</f>
        <v/>
      </c>
      <c r="AA146" s="14"/>
      <c r="AB146" s="13" t="str">
        <f aca="false">IF(G146&lt;&gt;"",IF(AA146="Sí",ROUND(G146*0.04*1.21,0),0),"")</f>
        <v/>
      </c>
      <c r="AC146" s="13" t="str">
        <f aca="false">IF(G146&lt;&gt;"",ROUND(G146*0.01,0),"")</f>
        <v/>
      </c>
      <c r="AD146" s="13" t="str">
        <f aca="false">IF(G146&lt;&gt;"",300,"")</f>
        <v/>
      </c>
      <c r="AE146" s="15"/>
      <c r="AF146" s="15"/>
      <c r="AG146" s="16"/>
      <c r="AH146" s="16"/>
      <c r="AI146" s="17" t="str">
        <f aca="false">IF(AND(AG146&lt;&gt;"",AH146&lt;&gt;""),(AG146+AH146)/2,"")</f>
        <v/>
      </c>
      <c r="AJ146" s="15"/>
      <c r="AK146" s="15"/>
    </row>
    <row r="147" customFormat="false" ht="15" hidden="false" customHeight="false" outlineLevel="0" collapsed="false">
      <c r="A147" s="2" t="str">
        <f aca="false">IF(E147&lt;&gt;"",ROW()-1,"")</f>
        <v/>
      </c>
      <c r="B147" s="3"/>
      <c r="C147" s="3"/>
      <c r="D147" s="3"/>
      <c r="E147" s="4"/>
      <c r="F147" s="4"/>
      <c r="G147" s="5"/>
      <c r="H147" s="4"/>
      <c r="I147" s="4"/>
      <c r="J147" s="4"/>
      <c r="K147" s="4"/>
      <c r="L147" s="6" t="str">
        <f aca="false">IF(AND(G147&lt;&gt;"",H147&gt;0),ROUND(G147/H147,0),"")</f>
        <v/>
      </c>
      <c r="M147" s="6" t="str">
        <f aca="false">IF(F147&lt;&gt;"",IFERROR(VLOOKUP(F147,TablaRef,2,FALSE()),"?"),"")</f>
        <v/>
      </c>
      <c r="N147" s="7" t="str">
        <f aca="false">IF(AND(L147&lt;&gt;"",M147&lt;&gt;"",ISNUMBER(M147)),IF(L147&lt;M147*(1-MargenPct),"🟢",IF(L147&gt;M147*(1+MargenPct),"🔴","🟡")),"")</f>
        <v/>
      </c>
      <c r="O147" s="8" t="str">
        <f aca="false">IF(G147&lt;&gt;"",W147+X147+Y147+Z147+AB147+AC147+AD147,"")</f>
        <v/>
      </c>
      <c r="P147" s="9" t="str">
        <f aca="false">IF(G147&lt;&gt;"",IF(O147&lt;=Presupuesto,"✓","✗"),"")</f>
        <v/>
      </c>
      <c r="Q147" s="10" t="str">
        <f aca="false">IF(G147&lt;&gt;"",Presupuesto-O147,"")</f>
        <v/>
      </c>
      <c r="R147" s="11"/>
      <c r="S147" s="11"/>
      <c r="T147" s="12"/>
      <c r="U147" s="12"/>
      <c r="V147" s="11"/>
      <c r="W147" s="13" t="str">
        <f aca="false">IF(G147&lt;&gt;"",MAX(G147-Credito,G147*0.1),"")</f>
        <v/>
      </c>
      <c r="X147" s="13" t="str">
        <f aca="false">IF(G147&lt;&gt;"",ROUND(G147*0.02*1.21,0),"")</f>
        <v/>
      </c>
      <c r="Y147" s="13" t="str">
        <f aca="false">IF(G147&lt;&gt;"",IF(G147&lt;=140000,0,ROUND(G147*0.0175,0)),"")</f>
        <v/>
      </c>
      <c r="Z147" s="13" t="str">
        <f aca="false">IF(G147&lt;&gt;"",ROUND(G147*0.004,0),"")</f>
        <v/>
      </c>
      <c r="AA147" s="14"/>
      <c r="AB147" s="13" t="str">
        <f aca="false">IF(G147&lt;&gt;"",IF(AA147="Sí",ROUND(G147*0.04*1.21,0),0),"")</f>
        <v/>
      </c>
      <c r="AC147" s="13" t="str">
        <f aca="false">IF(G147&lt;&gt;"",ROUND(G147*0.01,0),"")</f>
        <v/>
      </c>
      <c r="AD147" s="13" t="str">
        <f aca="false">IF(G147&lt;&gt;"",300,"")</f>
        <v/>
      </c>
      <c r="AE147" s="15"/>
      <c r="AF147" s="15"/>
      <c r="AG147" s="16"/>
      <c r="AH147" s="16"/>
      <c r="AI147" s="17" t="str">
        <f aca="false">IF(AND(AG147&lt;&gt;"",AH147&lt;&gt;""),(AG147+AH147)/2,"")</f>
        <v/>
      </c>
      <c r="AJ147" s="15"/>
      <c r="AK147" s="15"/>
    </row>
    <row r="148" customFormat="false" ht="15" hidden="false" customHeight="false" outlineLevel="0" collapsed="false">
      <c r="A148" s="2" t="str">
        <f aca="false">IF(E148&lt;&gt;"",ROW()-1,"")</f>
        <v/>
      </c>
      <c r="B148" s="3"/>
      <c r="C148" s="3"/>
      <c r="D148" s="3"/>
      <c r="E148" s="4"/>
      <c r="F148" s="4"/>
      <c r="G148" s="5"/>
      <c r="H148" s="4"/>
      <c r="I148" s="4"/>
      <c r="J148" s="4"/>
      <c r="K148" s="4"/>
      <c r="L148" s="6" t="str">
        <f aca="false">IF(AND(G148&lt;&gt;"",H148&gt;0),ROUND(G148/H148,0),"")</f>
        <v/>
      </c>
      <c r="M148" s="6" t="str">
        <f aca="false">IF(F148&lt;&gt;"",IFERROR(VLOOKUP(F148,TablaRef,2,FALSE()),"?"),"")</f>
        <v/>
      </c>
      <c r="N148" s="7" t="str">
        <f aca="false">IF(AND(L148&lt;&gt;"",M148&lt;&gt;"",ISNUMBER(M148)),IF(L148&lt;M148*(1-MargenPct),"🟢",IF(L148&gt;M148*(1+MargenPct),"🔴","🟡")),"")</f>
        <v/>
      </c>
      <c r="O148" s="8" t="str">
        <f aca="false">IF(G148&lt;&gt;"",W148+X148+Y148+Z148+AB148+AC148+AD148,"")</f>
        <v/>
      </c>
      <c r="P148" s="9" t="str">
        <f aca="false">IF(G148&lt;&gt;"",IF(O148&lt;=Presupuesto,"✓","✗"),"")</f>
        <v/>
      </c>
      <c r="Q148" s="10" t="str">
        <f aca="false">IF(G148&lt;&gt;"",Presupuesto-O148,"")</f>
        <v/>
      </c>
      <c r="R148" s="11"/>
      <c r="S148" s="11"/>
      <c r="T148" s="12"/>
      <c r="U148" s="12"/>
      <c r="V148" s="11"/>
      <c r="W148" s="13" t="str">
        <f aca="false">IF(G148&lt;&gt;"",MAX(G148-Credito,G148*0.1),"")</f>
        <v/>
      </c>
      <c r="X148" s="13" t="str">
        <f aca="false">IF(G148&lt;&gt;"",ROUND(G148*0.02*1.21,0),"")</f>
        <v/>
      </c>
      <c r="Y148" s="13" t="str">
        <f aca="false">IF(G148&lt;&gt;"",IF(G148&lt;=140000,0,ROUND(G148*0.0175,0)),"")</f>
        <v/>
      </c>
      <c r="Z148" s="13" t="str">
        <f aca="false">IF(G148&lt;&gt;"",ROUND(G148*0.004,0),"")</f>
        <v/>
      </c>
      <c r="AA148" s="14"/>
      <c r="AB148" s="13" t="str">
        <f aca="false">IF(G148&lt;&gt;"",IF(AA148="Sí",ROUND(G148*0.04*1.21,0),0),"")</f>
        <v/>
      </c>
      <c r="AC148" s="13" t="str">
        <f aca="false">IF(G148&lt;&gt;"",ROUND(G148*0.01,0),"")</f>
        <v/>
      </c>
      <c r="AD148" s="13" t="str">
        <f aca="false">IF(G148&lt;&gt;"",300,"")</f>
        <v/>
      </c>
      <c r="AE148" s="15"/>
      <c r="AF148" s="15"/>
      <c r="AG148" s="16"/>
      <c r="AH148" s="16"/>
      <c r="AI148" s="17" t="str">
        <f aca="false">IF(AND(AG148&lt;&gt;"",AH148&lt;&gt;""),(AG148+AH148)/2,"")</f>
        <v/>
      </c>
      <c r="AJ148" s="15"/>
      <c r="AK148" s="15"/>
    </row>
    <row r="149" customFormat="false" ht="15" hidden="false" customHeight="false" outlineLevel="0" collapsed="false">
      <c r="A149" s="2" t="str">
        <f aca="false">IF(E149&lt;&gt;"",ROW()-1,"")</f>
        <v/>
      </c>
      <c r="B149" s="3"/>
      <c r="C149" s="3"/>
      <c r="D149" s="3"/>
      <c r="E149" s="4"/>
      <c r="F149" s="4"/>
      <c r="G149" s="5"/>
      <c r="H149" s="4"/>
      <c r="I149" s="4"/>
      <c r="J149" s="4"/>
      <c r="K149" s="4"/>
      <c r="L149" s="6" t="str">
        <f aca="false">IF(AND(G149&lt;&gt;"",H149&gt;0),ROUND(G149/H149,0),"")</f>
        <v/>
      </c>
      <c r="M149" s="6" t="str">
        <f aca="false">IF(F149&lt;&gt;"",IFERROR(VLOOKUP(F149,TablaRef,2,FALSE()),"?"),"")</f>
        <v/>
      </c>
      <c r="N149" s="7" t="str">
        <f aca="false">IF(AND(L149&lt;&gt;"",M149&lt;&gt;"",ISNUMBER(M149)),IF(L149&lt;M149*(1-MargenPct),"🟢",IF(L149&gt;M149*(1+MargenPct),"🔴","🟡")),"")</f>
        <v/>
      </c>
      <c r="O149" s="8" t="str">
        <f aca="false">IF(G149&lt;&gt;"",W149+X149+Y149+Z149+AB149+AC149+AD149,"")</f>
        <v/>
      </c>
      <c r="P149" s="9" t="str">
        <f aca="false">IF(G149&lt;&gt;"",IF(O149&lt;=Presupuesto,"✓","✗"),"")</f>
        <v/>
      </c>
      <c r="Q149" s="10" t="str">
        <f aca="false">IF(G149&lt;&gt;"",Presupuesto-O149,"")</f>
        <v/>
      </c>
      <c r="R149" s="11"/>
      <c r="S149" s="11"/>
      <c r="T149" s="12"/>
      <c r="U149" s="12"/>
      <c r="V149" s="11"/>
      <c r="W149" s="13" t="str">
        <f aca="false">IF(G149&lt;&gt;"",MAX(G149-Credito,G149*0.1),"")</f>
        <v/>
      </c>
      <c r="X149" s="13" t="str">
        <f aca="false">IF(G149&lt;&gt;"",ROUND(G149*0.02*1.21,0),"")</f>
        <v/>
      </c>
      <c r="Y149" s="13" t="str">
        <f aca="false">IF(G149&lt;&gt;"",IF(G149&lt;=140000,0,ROUND(G149*0.0175,0)),"")</f>
        <v/>
      </c>
      <c r="Z149" s="13" t="str">
        <f aca="false">IF(G149&lt;&gt;"",ROUND(G149*0.004,0),"")</f>
        <v/>
      </c>
      <c r="AA149" s="14"/>
      <c r="AB149" s="13" t="str">
        <f aca="false">IF(G149&lt;&gt;"",IF(AA149="Sí",ROUND(G149*0.04*1.21,0),0),"")</f>
        <v/>
      </c>
      <c r="AC149" s="13" t="str">
        <f aca="false">IF(G149&lt;&gt;"",ROUND(G149*0.01,0),"")</f>
        <v/>
      </c>
      <c r="AD149" s="13" t="str">
        <f aca="false">IF(G149&lt;&gt;"",300,"")</f>
        <v/>
      </c>
      <c r="AE149" s="15"/>
      <c r="AF149" s="15"/>
      <c r="AG149" s="16"/>
      <c r="AH149" s="16"/>
      <c r="AI149" s="17" t="str">
        <f aca="false">IF(AND(AG149&lt;&gt;"",AH149&lt;&gt;""),(AG149+AH149)/2,"")</f>
        <v/>
      </c>
      <c r="AJ149" s="15"/>
      <c r="AK149" s="15"/>
    </row>
    <row r="150" customFormat="false" ht="15" hidden="false" customHeight="false" outlineLevel="0" collapsed="false">
      <c r="A150" s="2" t="str">
        <f aca="false">IF(E150&lt;&gt;"",ROW()-1,"")</f>
        <v/>
      </c>
      <c r="B150" s="3"/>
      <c r="C150" s="3"/>
      <c r="D150" s="3"/>
      <c r="E150" s="4"/>
      <c r="F150" s="4"/>
      <c r="G150" s="5"/>
      <c r="H150" s="4"/>
      <c r="I150" s="4"/>
      <c r="J150" s="4"/>
      <c r="K150" s="4"/>
      <c r="L150" s="6" t="str">
        <f aca="false">IF(AND(G150&lt;&gt;"",H150&gt;0),ROUND(G150/H150,0),"")</f>
        <v/>
      </c>
      <c r="M150" s="6" t="str">
        <f aca="false">IF(F150&lt;&gt;"",IFERROR(VLOOKUP(F150,TablaRef,2,FALSE()),"?"),"")</f>
        <v/>
      </c>
      <c r="N150" s="7" t="str">
        <f aca="false">IF(AND(L150&lt;&gt;"",M150&lt;&gt;"",ISNUMBER(M150)),IF(L150&lt;M150*(1-MargenPct),"🟢",IF(L150&gt;M150*(1+MargenPct),"🔴","🟡")),"")</f>
        <v/>
      </c>
      <c r="O150" s="8" t="str">
        <f aca="false">IF(G150&lt;&gt;"",W150+X150+Y150+Z150+AB150+AC150+AD150,"")</f>
        <v/>
      </c>
      <c r="P150" s="9" t="str">
        <f aca="false">IF(G150&lt;&gt;"",IF(O150&lt;=Presupuesto,"✓","✗"),"")</f>
        <v/>
      </c>
      <c r="Q150" s="10" t="str">
        <f aca="false">IF(G150&lt;&gt;"",Presupuesto-O150,"")</f>
        <v/>
      </c>
      <c r="R150" s="11"/>
      <c r="S150" s="11"/>
      <c r="T150" s="12"/>
      <c r="U150" s="12"/>
      <c r="V150" s="11"/>
      <c r="W150" s="13" t="str">
        <f aca="false">IF(G150&lt;&gt;"",MAX(G150-Credito,G150*0.1),"")</f>
        <v/>
      </c>
      <c r="X150" s="13" t="str">
        <f aca="false">IF(G150&lt;&gt;"",ROUND(G150*0.02*1.21,0),"")</f>
        <v/>
      </c>
      <c r="Y150" s="13" t="str">
        <f aca="false">IF(G150&lt;&gt;"",IF(G150&lt;=140000,0,ROUND(G150*0.0175,0)),"")</f>
        <v/>
      </c>
      <c r="Z150" s="13" t="str">
        <f aca="false">IF(G150&lt;&gt;"",ROUND(G150*0.004,0),"")</f>
        <v/>
      </c>
      <c r="AA150" s="14"/>
      <c r="AB150" s="13" t="str">
        <f aca="false">IF(G150&lt;&gt;"",IF(AA150="Sí",ROUND(G150*0.04*1.21,0),0),"")</f>
        <v/>
      </c>
      <c r="AC150" s="13" t="str">
        <f aca="false">IF(G150&lt;&gt;"",ROUND(G150*0.01,0),"")</f>
        <v/>
      </c>
      <c r="AD150" s="13" t="str">
        <f aca="false">IF(G150&lt;&gt;"",300,"")</f>
        <v/>
      </c>
      <c r="AE150" s="15"/>
      <c r="AF150" s="15"/>
      <c r="AG150" s="16"/>
      <c r="AH150" s="16"/>
      <c r="AI150" s="17" t="str">
        <f aca="false">IF(AND(AG150&lt;&gt;"",AH150&lt;&gt;""),(AG150+AH150)/2,"")</f>
        <v/>
      </c>
      <c r="AJ150" s="15"/>
      <c r="AK150" s="15"/>
    </row>
    <row r="151" customFormat="false" ht="15" hidden="false" customHeight="false" outlineLevel="0" collapsed="false">
      <c r="A151" s="2" t="str">
        <f aca="false">IF(E151&lt;&gt;"",ROW()-1,"")</f>
        <v/>
      </c>
      <c r="B151" s="3"/>
      <c r="C151" s="3"/>
      <c r="D151" s="3"/>
      <c r="E151" s="4"/>
      <c r="F151" s="4"/>
      <c r="G151" s="5"/>
      <c r="H151" s="4"/>
      <c r="I151" s="4"/>
      <c r="J151" s="4"/>
      <c r="K151" s="4"/>
      <c r="L151" s="6" t="str">
        <f aca="false">IF(AND(G151&lt;&gt;"",H151&gt;0),ROUND(G151/H151,0),"")</f>
        <v/>
      </c>
      <c r="M151" s="6" t="str">
        <f aca="false">IF(F151&lt;&gt;"",IFERROR(VLOOKUP(F151,TablaRef,2,FALSE()),"?"),"")</f>
        <v/>
      </c>
      <c r="N151" s="7" t="str">
        <f aca="false">IF(AND(L151&lt;&gt;"",M151&lt;&gt;"",ISNUMBER(M151)),IF(L151&lt;M151*(1-MargenPct),"🟢",IF(L151&gt;M151*(1+MargenPct),"🔴","🟡")),"")</f>
        <v/>
      </c>
      <c r="O151" s="8" t="str">
        <f aca="false">IF(G151&lt;&gt;"",W151+X151+Y151+Z151+AB151+AC151+AD151,"")</f>
        <v/>
      </c>
      <c r="P151" s="9" t="str">
        <f aca="false">IF(G151&lt;&gt;"",IF(O151&lt;=Presupuesto,"✓","✗"),"")</f>
        <v/>
      </c>
      <c r="Q151" s="10" t="str">
        <f aca="false">IF(G151&lt;&gt;"",Presupuesto-O151,"")</f>
        <v/>
      </c>
      <c r="R151" s="11"/>
      <c r="S151" s="11"/>
      <c r="T151" s="12"/>
      <c r="U151" s="12"/>
      <c r="V151" s="11"/>
      <c r="W151" s="13" t="str">
        <f aca="false">IF(G151&lt;&gt;"",MAX(G151-Credito,G151*0.1),"")</f>
        <v/>
      </c>
      <c r="X151" s="13" t="str">
        <f aca="false">IF(G151&lt;&gt;"",ROUND(G151*0.02*1.21,0),"")</f>
        <v/>
      </c>
      <c r="Y151" s="13" t="str">
        <f aca="false">IF(G151&lt;&gt;"",IF(G151&lt;=140000,0,ROUND(G151*0.0175,0)),"")</f>
        <v/>
      </c>
      <c r="Z151" s="13" t="str">
        <f aca="false">IF(G151&lt;&gt;"",ROUND(G151*0.004,0),"")</f>
        <v/>
      </c>
      <c r="AA151" s="14"/>
      <c r="AB151" s="13" t="str">
        <f aca="false">IF(G151&lt;&gt;"",IF(AA151="Sí",ROUND(G151*0.04*1.21,0),0),"")</f>
        <v/>
      </c>
      <c r="AC151" s="13" t="str">
        <f aca="false">IF(G151&lt;&gt;"",ROUND(G151*0.01,0),"")</f>
        <v/>
      </c>
      <c r="AD151" s="13" t="str">
        <f aca="false">IF(G151&lt;&gt;"",300,"")</f>
        <v/>
      </c>
      <c r="AE151" s="15"/>
      <c r="AF151" s="15"/>
      <c r="AG151" s="16"/>
      <c r="AH151" s="16"/>
      <c r="AI151" s="17" t="str">
        <f aca="false">IF(AND(AG151&lt;&gt;"",AH151&lt;&gt;""),(AG151+AH151)/2,"")</f>
        <v/>
      </c>
      <c r="AJ151" s="15"/>
      <c r="AK151" s="15"/>
    </row>
    <row r="152" customFormat="false" ht="15" hidden="false" customHeight="false" outlineLevel="0" collapsed="false">
      <c r="A152" s="2" t="str">
        <f aca="false">IF(E152&lt;&gt;"",ROW()-1,"")</f>
        <v/>
      </c>
      <c r="B152" s="3"/>
      <c r="C152" s="3"/>
      <c r="D152" s="3"/>
      <c r="E152" s="4"/>
      <c r="F152" s="4"/>
      <c r="G152" s="5"/>
      <c r="H152" s="4"/>
      <c r="I152" s="4"/>
      <c r="J152" s="4"/>
      <c r="K152" s="4"/>
      <c r="L152" s="6" t="str">
        <f aca="false">IF(AND(G152&lt;&gt;"",H152&gt;0),ROUND(G152/H152,0),"")</f>
        <v/>
      </c>
      <c r="M152" s="6" t="str">
        <f aca="false">IF(F152&lt;&gt;"",IFERROR(VLOOKUP(F152,TablaRef,2,FALSE()),"?"),"")</f>
        <v/>
      </c>
      <c r="N152" s="7" t="str">
        <f aca="false">IF(AND(L152&lt;&gt;"",M152&lt;&gt;"",ISNUMBER(M152)),IF(L152&lt;M152*(1-MargenPct),"🟢",IF(L152&gt;M152*(1+MargenPct),"🔴","🟡")),"")</f>
        <v/>
      </c>
      <c r="O152" s="8" t="str">
        <f aca="false">IF(G152&lt;&gt;"",W152+X152+Y152+Z152+AB152+AC152+AD152,"")</f>
        <v/>
      </c>
      <c r="P152" s="9" t="str">
        <f aca="false">IF(G152&lt;&gt;"",IF(O152&lt;=Presupuesto,"✓","✗"),"")</f>
        <v/>
      </c>
      <c r="Q152" s="10" t="str">
        <f aca="false">IF(G152&lt;&gt;"",Presupuesto-O152,"")</f>
        <v/>
      </c>
      <c r="R152" s="11"/>
      <c r="S152" s="11"/>
      <c r="T152" s="12"/>
      <c r="U152" s="12"/>
      <c r="V152" s="11"/>
      <c r="W152" s="13" t="str">
        <f aca="false">IF(G152&lt;&gt;"",MAX(G152-Credito,G152*0.1),"")</f>
        <v/>
      </c>
      <c r="X152" s="13" t="str">
        <f aca="false">IF(G152&lt;&gt;"",ROUND(G152*0.02*1.21,0),"")</f>
        <v/>
      </c>
      <c r="Y152" s="13" t="str">
        <f aca="false">IF(G152&lt;&gt;"",IF(G152&lt;=140000,0,ROUND(G152*0.0175,0)),"")</f>
        <v/>
      </c>
      <c r="Z152" s="13" t="str">
        <f aca="false">IF(G152&lt;&gt;"",ROUND(G152*0.004,0),"")</f>
        <v/>
      </c>
      <c r="AA152" s="14"/>
      <c r="AB152" s="13" t="str">
        <f aca="false">IF(G152&lt;&gt;"",IF(AA152="Sí",ROUND(G152*0.04*1.21,0),0),"")</f>
        <v/>
      </c>
      <c r="AC152" s="13" t="str">
        <f aca="false">IF(G152&lt;&gt;"",ROUND(G152*0.01,0),"")</f>
        <v/>
      </c>
      <c r="AD152" s="13" t="str">
        <f aca="false">IF(G152&lt;&gt;"",300,"")</f>
        <v/>
      </c>
      <c r="AE152" s="15"/>
      <c r="AF152" s="15"/>
      <c r="AG152" s="16"/>
      <c r="AH152" s="16"/>
      <c r="AI152" s="17" t="str">
        <f aca="false">IF(AND(AG152&lt;&gt;"",AH152&lt;&gt;""),(AG152+AH152)/2,"")</f>
        <v/>
      </c>
      <c r="AJ152" s="15"/>
      <c r="AK152" s="15"/>
    </row>
    <row r="153" customFormat="false" ht="15" hidden="false" customHeight="false" outlineLevel="0" collapsed="false">
      <c r="A153" s="2" t="str">
        <f aca="false">IF(E153&lt;&gt;"",ROW()-1,"")</f>
        <v/>
      </c>
      <c r="B153" s="3"/>
      <c r="C153" s="3"/>
      <c r="D153" s="3"/>
      <c r="E153" s="4"/>
      <c r="F153" s="4"/>
      <c r="G153" s="5"/>
      <c r="H153" s="4"/>
      <c r="I153" s="4"/>
      <c r="J153" s="4"/>
      <c r="K153" s="4"/>
      <c r="L153" s="6" t="str">
        <f aca="false">IF(AND(G153&lt;&gt;"",H153&gt;0),ROUND(G153/H153,0),"")</f>
        <v/>
      </c>
      <c r="M153" s="6" t="str">
        <f aca="false">IF(F153&lt;&gt;"",IFERROR(VLOOKUP(F153,TablaRef,2,FALSE()),"?"),"")</f>
        <v/>
      </c>
      <c r="N153" s="7" t="str">
        <f aca="false">IF(AND(L153&lt;&gt;"",M153&lt;&gt;"",ISNUMBER(M153)),IF(L153&lt;M153*(1-MargenPct),"🟢",IF(L153&gt;M153*(1+MargenPct),"🔴","🟡")),"")</f>
        <v/>
      </c>
      <c r="O153" s="8" t="str">
        <f aca="false">IF(G153&lt;&gt;"",W153+X153+Y153+Z153+AB153+AC153+AD153,"")</f>
        <v/>
      </c>
      <c r="P153" s="9" t="str">
        <f aca="false">IF(G153&lt;&gt;"",IF(O153&lt;=Presupuesto,"✓","✗"),"")</f>
        <v/>
      </c>
      <c r="Q153" s="10" t="str">
        <f aca="false">IF(G153&lt;&gt;"",Presupuesto-O153,"")</f>
        <v/>
      </c>
      <c r="R153" s="11"/>
      <c r="S153" s="11"/>
      <c r="T153" s="12"/>
      <c r="U153" s="12"/>
      <c r="V153" s="11"/>
      <c r="W153" s="13" t="str">
        <f aca="false">IF(G153&lt;&gt;"",MAX(G153-Credito,G153*0.1),"")</f>
        <v/>
      </c>
      <c r="X153" s="13" t="str">
        <f aca="false">IF(G153&lt;&gt;"",ROUND(G153*0.02*1.21,0),"")</f>
        <v/>
      </c>
      <c r="Y153" s="13" t="str">
        <f aca="false">IF(G153&lt;&gt;"",IF(G153&lt;=140000,0,ROUND(G153*0.0175,0)),"")</f>
        <v/>
      </c>
      <c r="Z153" s="13" t="str">
        <f aca="false">IF(G153&lt;&gt;"",ROUND(G153*0.004,0),"")</f>
        <v/>
      </c>
      <c r="AA153" s="14"/>
      <c r="AB153" s="13" t="str">
        <f aca="false">IF(G153&lt;&gt;"",IF(AA153="Sí",ROUND(G153*0.04*1.21,0),0),"")</f>
        <v/>
      </c>
      <c r="AC153" s="13" t="str">
        <f aca="false">IF(G153&lt;&gt;"",ROUND(G153*0.01,0),"")</f>
        <v/>
      </c>
      <c r="AD153" s="13" t="str">
        <f aca="false">IF(G153&lt;&gt;"",300,"")</f>
        <v/>
      </c>
      <c r="AE153" s="15"/>
      <c r="AF153" s="15"/>
      <c r="AG153" s="16"/>
      <c r="AH153" s="16"/>
      <c r="AI153" s="17" t="str">
        <f aca="false">IF(AND(AG153&lt;&gt;"",AH153&lt;&gt;""),(AG153+AH153)/2,"")</f>
        <v/>
      </c>
      <c r="AJ153" s="15"/>
      <c r="AK153" s="15"/>
    </row>
    <row r="154" customFormat="false" ht="15" hidden="false" customHeight="false" outlineLevel="0" collapsed="false">
      <c r="A154" s="2" t="str">
        <f aca="false">IF(E154&lt;&gt;"",ROW()-1,"")</f>
        <v/>
      </c>
      <c r="B154" s="3"/>
      <c r="C154" s="3"/>
      <c r="D154" s="3"/>
      <c r="E154" s="4"/>
      <c r="F154" s="4"/>
      <c r="G154" s="5"/>
      <c r="H154" s="4"/>
      <c r="I154" s="4"/>
      <c r="J154" s="4"/>
      <c r="K154" s="4"/>
      <c r="L154" s="6" t="str">
        <f aca="false">IF(AND(G154&lt;&gt;"",H154&gt;0),ROUND(G154/H154,0),"")</f>
        <v/>
      </c>
      <c r="M154" s="6" t="str">
        <f aca="false">IF(F154&lt;&gt;"",IFERROR(VLOOKUP(F154,TablaRef,2,FALSE()),"?"),"")</f>
        <v/>
      </c>
      <c r="N154" s="7" t="str">
        <f aca="false">IF(AND(L154&lt;&gt;"",M154&lt;&gt;"",ISNUMBER(M154)),IF(L154&lt;M154*(1-MargenPct),"🟢",IF(L154&gt;M154*(1+MargenPct),"🔴","🟡")),"")</f>
        <v/>
      </c>
      <c r="O154" s="8" t="str">
        <f aca="false">IF(G154&lt;&gt;"",W154+X154+Y154+Z154+AB154+AC154+AD154,"")</f>
        <v/>
      </c>
      <c r="P154" s="9" t="str">
        <f aca="false">IF(G154&lt;&gt;"",IF(O154&lt;=Presupuesto,"✓","✗"),"")</f>
        <v/>
      </c>
      <c r="Q154" s="10" t="str">
        <f aca="false">IF(G154&lt;&gt;"",Presupuesto-O154,"")</f>
        <v/>
      </c>
      <c r="R154" s="11"/>
      <c r="S154" s="11"/>
      <c r="T154" s="12"/>
      <c r="U154" s="12"/>
      <c r="V154" s="11"/>
      <c r="W154" s="13" t="str">
        <f aca="false">IF(G154&lt;&gt;"",MAX(G154-Credito,G154*0.1),"")</f>
        <v/>
      </c>
      <c r="X154" s="13" t="str">
        <f aca="false">IF(G154&lt;&gt;"",ROUND(G154*0.02*1.21,0),"")</f>
        <v/>
      </c>
      <c r="Y154" s="13" t="str">
        <f aca="false">IF(G154&lt;&gt;"",IF(G154&lt;=140000,0,ROUND(G154*0.0175,0)),"")</f>
        <v/>
      </c>
      <c r="Z154" s="13" t="str">
        <f aca="false">IF(G154&lt;&gt;"",ROUND(G154*0.004,0),"")</f>
        <v/>
      </c>
      <c r="AA154" s="14"/>
      <c r="AB154" s="13" t="str">
        <f aca="false">IF(G154&lt;&gt;"",IF(AA154="Sí",ROUND(G154*0.04*1.21,0),0),"")</f>
        <v/>
      </c>
      <c r="AC154" s="13" t="str">
        <f aca="false">IF(G154&lt;&gt;"",ROUND(G154*0.01,0),"")</f>
        <v/>
      </c>
      <c r="AD154" s="13" t="str">
        <f aca="false">IF(G154&lt;&gt;"",300,"")</f>
        <v/>
      </c>
      <c r="AE154" s="15"/>
      <c r="AF154" s="15"/>
      <c r="AG154" s="16"/>
      <c r="AH154" s="16"/>
      <c r="AI154" s="17" t="str">
        <f aca="false">IF(AND(AG154&lt;&gt;"",AH154&lt;&gt;""),(AG154+AH154)/2,"")</f>
        <v/>
      </c>
      <c r="AJ154" s="15"/>
      <c r="AK154" s="15"/>
    </row>
    <row r="155" customFormat="false" ht="15" hidden="false" customHeight="false" outlineLevel="0" collapsed="false">
      <c r="A155" s="2" t="str">
        <f aca="false">IF(E155&lt;&gt;"",ROW()-1,"")</f>
        <v/>
      </c>
      <c r="B155" s="3"/>
      <c r="C155" s="3"/>
      <c r="D155" s="3"/>
      <c r="E155" s="4"/>
      <c r="F155" s="4"/>
      <c r="G155" s="5"/>
      <c r="H155" s="4"/>
      <c r="I155" s="4"/>
      <c r="J155" s="4"/>
      <c r="K155" s="4"/>
      <c r="L155" s="6" t="str">
        <f aca="false">IF(AND(G155&lt;&gt;"",H155&gt;0),ROUND(G155/H155,0),"")</f>
        <v/>
      </c>
      <c r="M155" s="6" t="str">
        <f aca="false">IF(F155&lt;&gt;"",IFERROR(VLOOKUP(F155,TablaRef,2,FALSE()),"?"),"")</f>
        <v/>
      </c>
      <c r="N155" s="7" t="str">
        <f aca="false">IF(AND(L155&lt;&gt;"",M155&lt;&gt;"",ISNUMBER(M155)),IF(L155&lt;M155*(1-MargenPct),"🟢",IF(L155&gt;M155*(1+MargenPct),"🔴","🟡")),"")</f>
        <v/>
      </c>
      <c r="O155" s="8" t="str">
        <f aca="false">IF(G155&lt;&gt;"",W155+X155+Y155+Z155+AB155+AC155+AD155,"")</f>
        <v/>
      </c>
      <c r="P155" s="9" t="str">
        <f aca="false">IF(G155&lt;&gt;"",IF(O155&lt;=Presupuesto,"✓","✗"),"")</f>
        <v/>
      </c>
      <c r="Q155" s="10" t="str">
        <f aca="false">IF(G155&lt;&gt;"",Presupuesto-O155,"")</f>
        <v/>
      </c>
      <c r="R155" s="11"/>
      <c r="S155" s="11"/>
      <c r="T155" s="12"/>
      <c r="U155" s="12"/>
      <c r="V155" s="11"/>
      <c r="W155" s="13" t="str">
        <f aca="false">IF(G155&lt;&gt;"",MAX(G155-Credito,G155*0.1),"")</f>
        <v/>
      </c>
      <c r="X155" s="13" t="str">
        <f aca="false">IF(G155&lt;&gt;"",ROUND(G155*0.02*1.21,0),"")</f>
        <v/>
      </c>
      <c r="Y155" s="13" t="str">
        <f aca="false">IF(G155&lt;&gt;"",IF(G155&lt;=140000,0,ROUND(G155*0.0175,0)),"")</f>
        <v/>
      </c>
      <c r="Z155" s="13" t="str">
        <f aca="false">IF(G155&lt;&gt;"",ROUND(G155*0.004,0),"")</f>
        <v/>
      </c>
      <c r="AA155" s="14"/>
      <c r="AB155" s="13" t="str">
        <f aca="false">IF(G155&lt;&gt;"",IF(AA155="Sí",ROUND(G155*0.04*1.21,0),0),"")</f>
        <v/>
      </c>
      <c r="AC155" s="13" t="str">
        <f aca="false">IF(G155&lt;&gt;"",ROUND(G155*0.01,0),"")</f>
        <v/>
      </c>
      <c r="AD155" s="13" t="str">
        <f aca="false">IF(G155&lt;&gt;"",300,"")</f>
        <v/>
      </c>
      <c r="AE155" s="15"/>
      <c r="AF155" s="15"/>
      <c r="AG155" s="16"/>
      <c r="AH155" s="16"/>
      <c r="AI155" s="17" t="str">
        <f aca="false">IF(AND(AG155&lt;&gt;"",AH155&lt;&gt;""),(AG155+AH155)/2,"")</f>
        <v/>
      </c>
      <c r="AJ155" s="15"/>
      <c r="AK155" s="15"/>
    </row>
    <row r="156" customFormat="false" ht="15" hidden="false" customHeight="false" outlineLevel="0" collapsed="false">
      <c r="A156" s="2" t="str">
        <f aca="false">IF(E156&lt;&gt;"",ROW()-1,"")</f>
        <v/>
      </c>
      <c r="B156" s="3"/>
      <c r="C156" s="3"/>
      <c r="D156" s="3"/>
      <c r="E156" s="4"/>
      <c r="F156" s="4"/>
      <c r="G156" s="5"/>
      <c r="H156" s="4"/>
      <c r="I156" s="4"/>
      <c r="J156" s="4"/>
      <c r="K156" s="4"/>
      <c r="L156" s="6" t="str">
        <f aca="false">IF(AND(G156&lt;&gt;"",H156&gt;0),ROUND(G156/H156,0),"")</f>
        <v/>
      </c>
      <c r="M156" s="6" t="str">
        <f aca="false">IF(F156&lt;&gt;"",IFERROR(VLOOKUP(F156,TablaRef,2,FALSE()),"?"),"")</f>
        <v/>
      </c>
      <c r="N156" s="7" t="str">
        <f aca="false">IF(AND(L156&lt;&gt;"",M156&lt;&gt;"",ISNUMBER(M156)),IF(L156&lt;M156*(1-MargenPct),"🟢",IF(L156&gt;M156*(1+MargenPct),"🔴","🟡")),"")</f>
        <v/>
      </c>
      <c r="O156" s="8" t="str">
        <f aca="false">IF(G156&lt;&gt;"",W156+X156+Y156+Z156+AB156+AC156+AD156,"")</f>
        <v/>
      </c>
      <c r="P156" s="9" t="str">
        <f aca="false">IF(G156&lt;&gt;"",IF(O156&lt;=Presupuesto,"✓","✗"),"")</f>
        <v/>
      </c>
      <c r="Q156" s="10" t="str">
        <f aca="false">IF(G156&lt;&gt;"",Presupuesto-O156,"")</f>
        <v/>
      </c>
      <c r="R156" s="11"/>
      <c r="S156" s="11"/>
      <c r="T156" s="12"/>
      <c r="U156" s="12"/>
      <c r="V156" s="11"/>
      <c r="W156" s="13" t="str">
        <f aca="false">IF(G156&lt;&gt;"",MAX(G156-Credito,G156*0.1),"")</f>
        <v/>
      </c>
      <c r="X156" s="13" t="str">
        <f aca="false">IF(G156&lt;&gt;"",ROUND(G156*0.02*1.21,0),"")</f>
        <v/>
      </c>
      <c r="Y156" s="13" t="str">
        <f aca="false">IF(G156&lt;&gt;"",IF(G156&lt;=140000,0,ROUND(G156*0.0175,0)),"")</f>
        <v/>
      </c>
      <c r="Z156" s="13" t="str">
        <f aca="false">IF(G156&lt;&gt;"",ROUND(G156*0.004,0),"")</f>
        <v/>
      </c>
      <c r="AA156" s="14"/>
      <c r="AB156" s="13" t="str">
        <f aca="false">IF(G156&lt;&gt;"",IF(AA156="Sí",ROUND(G156*0.04*1.21,0),0),"")</f>
        <v/>
      </c>
      <c r="AC156" s="13" t="str">
        <f aca="false">IF(G156&lt;&gt;"",ROUND(G156*0.01,0),"")</f>
        <v/>
      </c>
      <c r="AD156" s="13" t="str">
        <f aca="false">IF(G156&lt;&gt;"",300,"")</f>
        <v/>
      </c>
      <c r="AE156" s="15"/>
      <c r="AF156" s="15"/>
      <c r="AG156" s="16"/>
      <c r="AH156" s="16"/>
      <c r="AI156" s="17" t="str">
        <f aca="false">IF(AND(AG156&lt;&gt;"",AH156&lt;&gt;""),(AG156+AH156)/2,"")</f>
        <v/>
      </c>
      <c r="AJ156" s="15"/>
      <c r="AK156" s="15"/>
    </row>
    <row r="157" customFormat="false" ht="15" hidden="false" customHeight="false" outlineLevel="0" collapsed="false">
      <c r="A157" s="2" t="str">
        <f aca="false">IF(E157&lt;&gt;"",ROW()-1,"")</f>
        <v/>
      </c>
      <c r="B157" s="3"/>
      <c r="C157" s="3"/>
      <c r="D157" s="3"/>
      <c r="E157" s="4"/>
      <c r="F157" s="4"/>
      <c r="G157" s="5"/>
      <c r="H157" s="4"/>
      <c r="I157" s="4"/>
      <c r="J157" s="4"/>
      <c r="K157" s="4"/>
      <c r="L157" s="6" t="str">
        <f aca="false">IF(AND(G157&lt;&gt;"",H157&gt;0),ROUND(G157/H157,0),"")</f>
        <v/>
      </c>
      <c r="M157" s="6" t="str">
        <f aca="false">IF(F157&lt;&gt;"",IFERROR(VLOOKUP(F157,TablaRef,2,FALSE()),"?"),"")</f>
        <v/>
      </c>
      <c r="N157" s="7" t="str">
        <f aca="false">IF(AND(L157&lt;&gt;"",M157&lt;&gt;"",ISNUMBER(M157)),IF(L157&lt;M157*(1-MargenPct),"🟢",IF(L157&gt;M157*(1+MargenPct),"🔴","🟡")),"")</f>
        <v/>
      </c>
      <c r="O157" s="8" t="str">
        <f aca="false">IF(G157&lt;&gt;"",W157+X157+Y157+Z157+AB157+AC157+AD157,"")</f>
        <v/>
      </c>
      <c r="P157" s="9" t="str">
        <f aca="false">IF(G157&lt;&gt;"",IF(O157&lt;=Presupuesto,"✓","✗"),"")</f>
        <v/>
      </c>
      <c r="Q157" s="10" t="str">
        <f aca="false">IF(G157&lt;&gt;"",Presupuesto-O157,"")</f>
        <v/>
      </c>
      <c r="R157" s="11"/>
      <c r="S157" s="11"/>
      <c r="T157" s="12"/>
      <c r="U157" s="12"/>
      <c r="V157" s="11"/>
      <c r="W157" s="13" t="str">
        <f aca="false">IF(G157&lt;&gt;"",MAX(G157-Credito,G157*0.1),"")</f>
        <v/>
      </c>
      <c r="X157" s="13" t="str">
        <f aca="false">IF(G157&lt;&gt;"",ROUND(G157*0.02*1.21,0),"")</f>
        <v/>
      </c>
      <c r="Y157" s="13" t="str">
        <f aca="false">IF(G157&lt;&gt;"",IF(G157&lt;=140000,0,ROUND(G157*0.0175,0)),"")</f>
        <v/>
      </c>
      <c r="Z157" s="13" t="str">
        <f aca="false">IF(G157&lt;&gt;"",ROUND(G157*0.004,0),"")</f>
        <v/>
      </c>
      <c r="AA157" s="14"/>
      <c r="AB157" s="13" t="str">
        <f aca="false">IF(G157&lt;&gt;"",IF(AA157="Sí",ROUND(G157*0.04*1.21,0),0),"")</f>
        <v/>
      </c>
      <c r="AC157" s="13" t="str">
        <f aca="false">IF(G157&lt;&gt;"",ROUND(G157*0.01,0),"")</f>
        <v/>
      </c>
      <c r="AD157" s="13" t="str">
        <f aca="false">IF(G157&lt;&gt;"",300,"")</f>
        <v/>
      </c>
      <c r="AE157" s="15"/>
      <c r="AF157" s="15"/>
      <c r="AG157" s="16"/>
      <c r="AH157" s="16"/>
      <c r="AI157" s="17" t="str">
        <f aca="false">IF(AND(AG157&lt;&gt;"",AH157&lt;&gt;""),(AG157+AH157)/2,"")</f>
        <v/>
      </c>
      <c r="AJ157" s="15"/>
      <c r="AK157" s="15"/>
    </row>
    <row r="158" customFormat="false" ht="15" hidden="false" customHeight="false" outlineLevel="0" collapsed="false">
      <c r="A158" s="2" t="str">
        <f aca="false">IF(E158&lt;&gt;"",ROW()-1,"")</f>
        <v/>
      </c>
      <c r="B158" s="3"/>
      <c r="C158" s="3"/>
      <c r="D158" s="3"/>
      <c r="E158" s="4"/>
      <c r="F158" s="4"/>
      <c r="G158" s="5"/>
      <c r="H158" s="4"/>
      <c r="I158" s="4"/>
      <c r="J158" s="4"/>
      <c r="K158" s="4"/>
      <c r="L158" s="6" t="str">
        <f aca="false">IF(AND(G158&lt;&gt;"",H158&gt;0),ROUND(G158/H158,0),"")</f>
        <v/>
      </c>
      <c r="M158" s="6" t="str">
        <f aca="false">IF(F158&lt;&gt;"",IFERROR(VLOOKUP(F158,TablaRef,2,FALSE()),"?"),"")</f>
        <v/>
      </c>
      <c r="N158" s="7" t="str">
        <f aca="false">IF(AND(L158&lt;&gt;"",M158&lt;&gt;"",ISNUMBER(M158)),IF(L158&lt;M158*(1-MargenPct),"🟢",IF(L158&gt;M158*(1+MargenPct),"🔴","🟡")),"")</f>
        <v/>
      </c>
      <c r="O158" s="8" t="str">
        <f aca="false">IF(G158&lt;&gt;"",W158+X158+Y158+Z158+AB158+AC158+AD158,"")</f>
        <v/>
      </c>
      <c r="P158" s="9" t="str">
        <f aca="false">IF(G158&lt;&gt;"",IF(O158&lt;=Presupuesto,"✓","✗"),"")</f>
        <v/>
      </c>
      <c r="Q158" s="10" t="str">
        <f aca="false">IF(G158&lt;&gt;"",Presupuesto-O158,"")</f>
        <v/>
      </c>
      <c r="R158" s="11"/>
      <c r="S158" s="11"/>
      <c r="T158" s="12"/>
      <c r="U158" s="12"/>
      <c r="V158" s="11"/>
      <c r="W158" s="13" t="str">
        <f aca="false">IF(G158&lt;&gt;"",MAX(G158-Credito,G158*0.1),"")</f>
        <v/>
      </c>
      <c r="X158" s="13" t="str">
        <f aca="false">IF(G158&lt;&gt;"",ROUND(G158*0.02*1.21,0),"")</f>
        <v/>
      </c>
      <c r="Y158" s="13" t="str">
        <f aca="false">IF(G158&lt;&gt;"",IF(G158&lt;=140000,0,ROUND(G158*0.0175,0)),"")</f>
        <v/>
      </c>
      <c r="Z158" s="13" t="str">
        <f aca="false">IF(G158&lt;&gt;"",ROUND(G158*0.004,0),"")</f>
        <v/>
      </c>
      <c r="AA158" s="14"/>
      <c r="AB158" s="13" t="str">
        <f aca="false">IF(G158&lt;&gt;"",IF(AA158="Sí",ROUND(G158*0.04*1.21,0),0),"")</f>
        <v/>
      </c>
      <c r="AC158" s="13" t="str">
        <f aca="false">IF(G158&lt;&gt;"",ROUND(G158*0.01,0),"")</f>
        <v/>
      </c>
      <c r="AD158" s="13" t="str">
        <f aca="false">IF(G158&lt;&gt;"",300,"")</f>
        <v/>
      </c>
      <c r="AE158" s="15"/>
      <c r="AF158" s="15"/>
      <c r="AG158" s="16"/>
      <c r="AH158" s="16"/>
      <c r="AI158" s="17" t="str">
        <f aca="false">IF(AND(AG158&lt;&gt;"",AH158&lt;&gt;""),(AG158+AH158)/2,"")</f>
        <v/>
      </c>
      <c r="AJ158" s="15"/>
      <c r="AK158" s="15"/>
    </row>
    <row r="159" customFormat="false" ht="15" hidden="false" customHeight="false" outlineLevel="0" collapsed="false">
      <c r="A159" s="2" t="str">
        <f aca="false">IF(E159&lt;&gt;"",ROW()-1,"")</f>
        <v/>
      </c>
      <c r="B159" s="3"/>
      <c r="C159" s="3"/>
      <c r="D159" s="3"/>
      <c r="E159" s="4"/>
      <c r="F159" s="4"/>
      <c r="G159" s="5"/>
      <c r="H159" s="4"/>
      <c r="I159" s="4"/>
      <c r="J159" s="4"/>
      <c r="K159" s="4"/>
      <c r="L159" s="6" t="str">
        <f aca="false">IF(AND(G159&lt;&gt;"",H159&gt;0),ROUND(G159/H159,0),"")</f>
        <v/>
      </c>
      <c r="M159" s="6" t="str">
        <f aca="false">IF(F159&lt;&gt;"",IFERROR(VLOOKUP(F159,TablaRef,2,FALSE()),"?"),"")</f>
        <v/>
      </c>
      <c r="N159" s="7" t="str">
        <f aca="false">IF(AND(L159&lt;&gt;"",M159&lt;&gt;"",ISNUMBER(M159)),IF(L159&lt;M159*(1-MargenPct),"🟢",IF(L159&gt;M159*(1+MargenPct),"🔴","🟡")),"")</f>
        <v/>
      </c>
      <c r="O159" s="8" t="str">
        <f aca="false">IF(G159&lt;&gt;"",W159+X159+Y159+Z159+AB159+AC159+AD159,"")</f>
        <v/>
      </c>
      <c r="P159" s="9" t="str">
        <f aca="false">IF(G159&lt;&gt;"",IF(O159&lt;=Presupuesto,"✓","✗"),"")</f>
        <v/>
      </c>
      <c r="Q159" s="10" t="str">
        <f aca="false">IF(G159&lt;&gt;"",Presupuesto-O159,"")</f>
        <v/>
      </c>
      <c r="R159" s="11"/>
      <c r="S159" s="11"/>
      <c r="T159" s="12"/>
      <c r="U159" s="12"/>
      <c r="V159" s="11"/>
      <c r="W159" s="13" t="str">
        <f aca="false">IF(G159&lt;&gt;"",MAX(G159-Credito,G159*0.1),"")</f>
        <v/>
      </c>
      <c r="X159" s="13" t="str">
        <f aca="false">IF(G159&lt;&gt;"",ROUND(G159*0.02*1.21,0),"")</f>
        <v/>
      </c>
      <c r="Y159" s="13" t="str">
        <f aca="false">IF(G159&lt;&gt;"",IF(G159&lt;=140000,0,ROUND(G159*0.0175,0)),"")</f>
        <v/>
      </c>
      <c r="Z159" s="13" t="str">
        <f aca="false">IF(G159&lt;&gt;"",ROUND(G159*0.004,0),"")</f>
        <v/>
      </c>
      <c r="AA159" s="14"/>
      <c r="AB159" s="13" t="str">
        <f aca="false">IF(G159&lt;&gt;"",IF(AA159="Sí",ROUND(G159*0.04*1.21,0),0),"")</f>
        <v/>
      </c>
      <c r="AC159" s="13" t="str">
        <f aca="false">IF(G159&lt;&gt;"",ROUND(G159*0.01,0),"")</f>
        <v/>
      </c>
      <c r="AD159" s="13" t="str">
        <f aca="false">IF(G159&lt;&gt;"",300,"")</f>
        <v/>
      </c>
      <c r="AE159" s="15"/>
      <c r="AF159" s="15"/>
      <c r="AG159" s="16"/>
      <c r="AH159" s="16"/>
      <c r="AI159" s="17" t="str">
        <f aca="false">IF(AND(AG159&lt;&gt;"",AH159&lt;&gt;""),(AG159+AH159)/2,"")</f>
        <v/>
      </c>
      <c r="AJ159" s="15"/>
      <c r="AK159" s="15"/>
    </row>
    <row r="160" customFormat="false" ht="15" hidden="false" customHeight="false" outlineLevel="0" collapsed="false">
      <c r="A160" s="2" t="str">
        <f aca="false">IF(E160&lt;&gt;"",ROW()-1,"")</f>
        <v/>
      </c>
      <c r="B160" s="3"/>
      <c r="C160" s="3"/>
      <c r="D160" s="3"/>
      <c r="E160" s="4"/>
      <c r="F160" s="4"/>
      <c r="G160" s="5"/>
      <c r="H160" s="4"/>
      <c r="I160" s="4"/>
      <c r="J160" s="4"/>
      <c r="K160" s="4"/>
      <c r="L160" s="6" t="str">
        <f aca="false">IF(AND(G160&lt;&gt;"",H160&gt;0),ROUND(G160/H160,0),"")</f>
        <v/>
      </c>
      <c r="M160" s="6" t="str">
        <f aca="false">IF(F160&lt;&gt;"",IFERROR(VLOOKUP(F160,TablaRef,2,FALSE()),"?"),"")</f>
        <v/>
      </c>
      <c r="N160" s="7" t="str">
        <f aca="false">IF(AND(L160&lt;&gt;"",M160&lt;&gt;"",ISNUMBER(M160)),IF(L160&lt;M160*(1-MargenPct),"🟢",IF(L160&gt;M160*(1+MargenPct),"🔴","🟡")),"")</f>
        <v/>
      </c>
      <c r="O160" s="8" t="str">
        <f aca="false">IF(G160&lt;&gt;"",W160+X160+Y160+Z160+AB160+AC160+AD160,"")</f>
        <v/>
      </c>
      <c r="P160" s="9" t="str">
        <f aca="false">IF(G160&lt;&gt;"",IF(O160&lt;=Presupuesto,"✓","✗"),"")</f>
        <v/>
      </c>
      <c r="Q160" s="10" t="str">
        <f aca="false">IF(G160&lt;&gt;"",Presupuesto-O160,"")</f>
        <v/>
      </c>
      <c r="R160" s="11"/>
      <c r="S160" s="11"/>
      <c r="T160" s="12"/>
      <c r="U160" s="12"/>
      <c r="V160" s="11"/>
      <c r="W160" s="13" t="str">
        <f aca="false">IF(G160&lt;&gt;"",MAX(G160-Credito,G160*0.1),"")</f>
        <v/>
      </c>
      <c r="X160" s="13" t="str">
        <f aca="false">IF(G160&lt;&gt;"",ROUND(G160*0.02*1.21,0),"")</f>
        <v/>
      </c>
      <c r="Y160" s="13" t="str">
        <f aca="false">IF(G160&lt;&gt;"",IF(G160&lt;=140000,0,ROUND(G160*0.0175,0)),"")</f>
        <v/>
      </c>
      <c r="Z160" s="13" t="str">
        <f aca="false">IF(G160&lt;&gt;"",ROUND(G160*0.004,0),"")</f>
        <v/>
      </c>
      <c r="AA160" s="14"/>
      <c r="AB160" s="13" t="str">
        <f aca="false">IF(G160&lt;&gt;"",IF(AA160="Sí",ROUND(G160*0.04*1.21,0),0),"")</f>
        <v/>
      </c>
      <c r="AC160" s="13" t="str">
        <f aca="false">IF(G160&lt;&gt;"",ROUND(G160*0.01,0),"")</f>
        <v/>
      </c>
      <c r="AD160" s="13" t="str">
        <f aca="false">IF(G160&lt;&gt;"",300,"")</f>
        <v/>
      </c>
      <c r="AE160" s="15"/>
      <c r="AF160" s="15"/>
      <c r="AG160" s="16"/>
      <c r="AH160" s="16"/>
      <c r="AI160" s="17" t="str">
        <f aca="false">IF(AND(AG160&lt;&gt;"",AH160&lt;&gt;""),(AG160+AH160)/2,"")</f>
        <v/>
      </c>
      <c r="AJ160" s="15"/>
      <c r="AK160" s="15"/>
    </row>
    <row r="161" customFormat="false" ht="15" hidden="false" customHeight="false" outlineLevel="0" collapsed="false">
      <c r="A161" s="2" t="str">
        <f aca="false">IF(E161&lt;&gt;"",ROW()-1,"")</f>
        <v/>
      </c>
      <c r="B161" s="3"/>
      <c r="C161" s="3"/>
      <c r="D161" s="3"/>
      <c r="E161" s="4"/>
      <c r="F161" s="4"/>
      <c r="G161" s="5"/>
      <c r="H161" s="4"/>
      <c r="I161" s="4"/>
      <c r="J161" s="4"/>
      <c r="K161" s="4"/>
      <c r="L161" s="6" t="str">
        <f aca="false">IF(AND(G161&lt;&gt;"",H161&gt;0),ROUND(G161/H161,0),"")</f>
        <v/>
      </c>
      <c r="M161" s="6" t="str">
        <f aca="false">IF(F161&lt;&gt;"",IFERROR(VLOOKUP(F161,TablaRef,2,FALSE()),"?"),"")</f>
        <v/>
      </c>
      <c r="N161" s="7" t="str">
        <f aca="false">IF(AND(L161&lt;&gt;"",M161&lt;&gt;"",ISNUMBER(M161)),IF(L161&lt;M161*(1-MargenPct),"🟢",IF(L161&gt;M161*(1+MargenPct),"🔴","🟡")),"")</f>
        <v/>
      </c>
      <c r="O161" s="8" t="str">
        <f aca="false">IF(G161&lt;&gt;"",W161+X161+Y161+Z161+AB161+AC161+AD161,"")</f>
        <v/>
      </c>
      <c r="P161" s="9" t="str">
        <f aca="false">IF(G161&lt;&gt;"",IF(O161&lt;=Presupuesto,"✓","✗"),"")</f>
        <v/>
      </c>
      <c r="Q161" s="10" t="str">
        <f aca="false">IF(G161&lt;&gt;"",Presupuesto-O161,"")</f>
        <v/>
      </c>
      <c r="R161" s="11"/>
      <c r="S161" s="11"/>
      <c r="T161" s="12"/>
      <c r="U161" s="12"/>
      <c r="V161" s="11"/>
      <c r="W161" s="13" t="str">
        <f aca="false">IF(G161&lt;&gt;"",MAX(G161-Credito,G161*0.1),"")</f>
        <v/>
      </c>
      <c r="X161" s="13" t="str">
        <f aca="false">IF(G161&lt;&gt;"",ROUND(G161*0.02*1.21,0),"")</f>
        <v/>
      </c>
      <c r="Y161" s="13" t="str">
        <f aca="false">IF(G161&lt;&gt;"",IF(G161&lt;=140000,0,ROUND(G161*0.0175,0)),"")</f>
        <v/>
      </c>
      <c r="Z161" s="13" t="str">
        <f aca="false">IF(G161&lt;&gt;"",ROUND(G161*0.004,0),"")</f>
        <v/>
      </c>
      <c r="AA161" s="14"/>
      <c r="AB161" s="13" t="str">
        <f aca="false">IF(G161&lt;&gt;"",IF(AA161="Sí",ROUND(G161*0.04*1.21,0),0),"")</f>
        <v/>
      </c>
      <c r="AC161" s="13" t="str">
        <f aca="false">IF(G161&lt;&gt;"",ROUND(G161*0.01,0),"")</f>
        <v/>
      </c>
      <c r="AD161" s="13" t="str">
        <f aca="false">IF(G161&lt;&gt;"",300,"")</f>
        <v/>
      </c>
      <c r="AE161" s="15"/>
      <c r="AF161" s="15"/>
      <c r="AG161" s="16"/>
      <c r="AH161" s="16"/>
      <c r="AI161" s="17" t="str">
        <f aca="false">IF(AND(AG161&lt;&gt;"",AH161&lt;&gt;""),(AG161+AH161)/2,"")</f>
        <v/>
      </c>
      <c r="AJ161" s="15"/>
      <c r="AK161" s="15"/>
    </row>
    <row r="162" customFormat="false" ht="15" hidden="false" customHeight="false" outlineLevel="0" collapsed="false">
      <c r="A162" s="2" t="str">
        <f aca="false">IF(E162&lt;&gt;"",ROW()-1,"")</f>
        <v/>
      </c>
      <c r="B162" s="3"/>
      <c r="C162" s="3"/>
      <c r="D162" s="3"/>
      <c r="E162" s="4"/>
      <c r="F162" s="4"/>
      <c r="G162" s="5"/>
      <c r="H162" s="4"/>
      <c r="I162" s="4"/>
      <c r="J162" s="4"/>
      <c r="K162" s="4"/>
      <c r="L162" s="6" t="str">
        <f aca="false">IF(AND(G162&lt;&gt;"",H162&gt;0),ROUND(G162/H162,0),"")</f>
        <v/>
      </c>
      <c r="M162" s="6" t="str">
        <f aca="false">IF(F162&lt;&gt;"",IFERROR(VLOOKUP(F162,TablaRef,2,FALSE()),"?"),"")</f>
        <v/>
      </c>
      <c r="N162" s="7" t="str">
        <f aca="false">IF(AND(L162&lt;&gt;"",M162&lt;&gt;"",ISNUMBER(M162)),IF(L162&lt;M162*(1-MargenPct),"🟢",IF(L162&gt;M162*(1+MargenPct),"🔴","🟡")),"")</f>
        <v/>
      </c>
      <c r="O162" s="8" t="str">
        <f aca="false">IF(G162&lt;&gt;"",W162+X162+Y162+Z162+AB162+AC162+AD162,"")</f>
        <v/>
      </c>
      <c r="P162" s="9" t="str">
        <f aca="false">IF(G162&lt;&gt;"",IF(O162&lt;=Presupuesto,"✓","✗"),"")</f>
        <v/>
      </c>
      <c r="Q162" s="10" t="str">
        <f aca="false">IF(G162&lt;&gt;"",Presupuesto-O162,"")</f>
        <v/>
      </c>
      <c r="R162" s="11"/>
      <c r="S162" s="11"/>
      <c r="T162" s="12"/>
      <c r="U162" s="12"/>
      <c r="V162" s="11"/>
      <c r="W162" s="13" t="str">
        <f aca="false">IF(G162&lt;&gt;"",MAX(G162-Credito,G162*0.1),"")</f>
        <v/>
      </c>
      <c r="X162" s="13" t="str">
        <f aca="false">IF(G162&lt;&gt;"",ROUND(G162*0.02*1.21,0),"")</f>
        <v/>
      </c>
      <c r="Y162" s="13" t="str">
        <f aca="false">IF(G162&lt;&gt;"",IF(G162&lt;=140000,0,ROUND(G162*0.0175,0)),"")</f>
        <v/>
      </c>
      <c r="Z162" s="13" t="str">
        <f aca="false">IF(G162&lt;&gt;"",ROUND(G162*0.004,0),"")</f>
        <v/>
      </c>
      <c r="AA162" s="14"/>
      <c r="AB162" s="13" t="str">
        <f aca="false">IF(G162&lt;&gt;"",IF(AA162="Sí",ROUND(G162*0.04*1.21,0),0),"")</f>
        <v/>
      </c>
      <c r="AC162" s="13" t="str">
        <f aca="false">IF(G162&lt;&gt;"",ROUND(G162*0.01,0),"")</f>
        <v/>
      </c>
      <c r="AD162" s="13" t="str">
        <f aca="false">IF(G162&lt;&gt;"",300,"")</f>
        <v/>
      </c>
      <c r="AE162" s="15"/>
      <c r="AF162" s="15"/>
      <c r="AG162" s="16"/>
      <c r="AH162" s="16"/>
      <c r="AI162" s="17" t="str">
        <f aca="false">IF(AND(AG162&lt;&gt;"",AH162&lt;&gt;""),(AG162+AH162)/2,"")</f>
        <v/>
      </c>
      <c r="AJ162" s="15"/>
      <c r="AK162" s="15"/>
    </row>
    <row r="163" customFormat="false" ht="15" hidden="false" customHeight="false" outlineLevel="0" collapsed="false">
      <c r="A163" s="2" t="str">
        <f aca="false">IF(E163&lt;&gt;"",ROW()-1,"")</f>
        <v/>
      </c>
      <c r="B163" s="3"/>
      <c r="C163" s="3"/>
      <c r="D163" s="3"/>
      <c r="E163" s="4"/>
      <c r="F163" s="4"/>
      <c r="G163" s="5"/>
      <c r="H163" s="4"/>
      <c r="I163" s="4"/>
      <c r="J163" s="4"/>
      <c r="K163" s="4"/>
      <c r="L163" s="6" t="str">
        <f aca="false">IF(AND(G163&lt;&gt;"",H163&gt;0),ROUND(G163/H163,0),"")</f>
        <v/>
      </c>
      <c r="M163" s="6" t="str">
        <f aca="false">IF(F163&lt;&gt;"",IFERROR(VLOOKUP(F163,TablaRef,2,FALSE()),"?"),"")</f>
        <v/>
      </c>
      <c r="N163" s="7" t="str">
        <f aca="false">IF(AND(L163&lt;&gt;"",M163&lt;&gt;"",ISNUMBER(M163)),IF(L163&lt;M163*(1-MargenPct),"🟢",IF(L163&gt;M163*(1+MargenPct),"🔴","🟡")),"")</f>
        <v/>
      </c>
      <c r="O163" s="8" t="str">
        <f aca="false">IF(G163&lt;&gt;"",W163+X163+Y163+Z163+AB163+AC163+AD163,"")</f>
        <v/>
      </c>
      <c r="P163" s="9" t="str">
        <f aca="false">IF(G163&lt;&gt;"",IF(O163&lt;=Presupuesto,"✓","✗"),"")</f>
        <v/>
      </c>
      <c r="Q163" s="10" t="str">
        <f aca="false">IF(G163&lt;&gt;"",Presupuesto-O163,"")</f>
        <v/>
      </c>
      <c r="R163" s="11"/>
      <c r="S163" s="11"/>
      <c r="T163" s="12"/>
      <c r="U163" s="12"/>
      <c r="V163" s="11"/>
      <c r="W163" s="13" t="str">
        <f aca="false">IF(G163&lt;&gt;"",MAX(G163-Credito,G163*0.1),"")</f>
        <v/>
      </c>
      <c r="X163" s="13" t="str">
        <f aca="false">IF(G163&lt;&gt;"",ROUND(G163*0.02*1.21,0),"")</f>
        <v/>
      </c>
      <c r="Y163" s="13" t="str">
        <f aca="false">IF(G163&lt;&gt;"",IF(G163&lt;=140000,0,ROUND(G163*0.0175,0)),"")</f>
        <v/>
      </c>
      <c r="Z163" s="13" t="str">
        <f aca="false">IF(G163&lt;&gt;"",ROUND(G163*0.004,0),"")</f>
        <v/>
      </c>
      <c r="AA163" s="14"/>
      <c r="AB163" s="13" t="str">
        <f aca="false">IF(G163&lt;&gt;"",IF(AA163="Sí",ROUND(G163*0.04*1.21,0),0),"")</f>
        <v/>
      </c>
      <c r="AC163" s="13" t="str">
        <f aca="false">IF(G163&lt;&gt;"",ROUND(G163*0.01,0),"")</f>
        <v/>
      </c>
      <c r="AD163" s="13" t="str">
        <f aca="false">IF(G163&lt;&gt;"",300,"")</f>
        <v/>
      </c>
      <c r="AE163" s="15"/>
      <c r="AF163" s="15"/>
      <c r="AG163" s="16"/>
      <c r="AH163" s="16"/>
      <c r="AI163" s="17" t="str">
        <f aca="false">IF(AND(AG163&lt;&gt;"",AH163&lt;&gt;""),(AG163+AH163)/2,"")</f>
        <v/>
      </c>
      <c r="AJ163" s="15"/>
      <c r="AK163" s="15"/>
    </row>
    <row r="164" customFormat="false" ht="15" hidden="false" customHeight="false" outlineLevel="0" collapsed="false">
      <c r="A164" s="2" t="str">
        <f aca="false">IF(E164&lt;&gt;"",ROW()-1,"")</f>
        <v/>
      </c>
      <c r="B164" s="3"/>
      <c r="C164" s="3"/>
      <c r="D164" s="3"/>
      <c r="E164" s="4"/>
      <c r="F164" s="4"/>
      <c r="G164" s="5"/>
      <c r="H164" s="4"/>
      <c r="I164" s="4"/>
      <c r="J164" s="4"/>
      <c r="K164" s="4"/>
      <c r="L164" s="6" t="str">
        <f aca="false">IF(AND(G164&lt;&gt;"",H164&gt;0),ROUND(G164/H164,0),"")</f>
        <v/>
      </c>
      <c r="M164" s="6" t="str">
        <f aca="false">IF(F164&lt;&gt;"",IFERROR(VLOOKUP(F164,TablaRef,2,FALSE()),"?"),"")</f>
        <v/>
      </c>
      <c r="N164" s="7" t="str">
        <f aca="false">IF(AND(L164&lt;&gt;"",M164&lt;&gt;"",ISNUMBER(M164)),IF(L164&lt;M164*(1-MargenPct),"🟢",IF(L164&gt;M164*(1+MargenPct),"🔴","🟡")),"")</f>
        <v/>
      </c>
      <c r="O164" s="8" t="str">
        <f aca="false">IF(G164&lt;&gt;"",W164+X164+Y164+Z164+AB164+AC164+AD164,"")</f>
        <v/>
      </c>
      <c r="P164" s="9" t="str">
        <f aca="false">IF(G164&lt;&gt;"",IF(O164&lt;=Presupuesto,"✓","✗"),"")</f>
        <v/>
      </c>
      <c r="Q164" s="10" t="str">
        <f aca="false">IF(G164&lt;&gt;"",Presupuesto-O164,"")</f>
        <v/>
      </c>
      <c r="R164" s="11"/>
      <c r="S164" s="11"/>
      <c r="T164" s="12"/>
      <c r="U164" s="12"/>
      <c r="V164" s="11"/>
      <c r="W164" s="13" t="str">
        <f aca="false">IF(G164&lt;&gt;"",MAX(G164-Credito,G164*0.1),"")</f>
        <v/>
      </c>
      <c r="X164" s="13" t="str">
        <f aca="false">IF(G164&lt;&gt;"",ROUND(G164*0.02*1.21,0),"")</f>
        <v/>
      </c>
      <c r="Y164" s="13" t="str">
        <f aca="false">IF(G164&lt;&gt;"",IF(G164&lt;=140000,0,ROUND(G164*0.0175,0)),"")</f>
        <v/>
      </c>
      <c r="Z164" s="13" t="str">
        <f aca="false">IF(G164&lt;&gt;"",ROUND(G164*0.004,0),"")</f>
        <v/>
      </c>
      <c r="AA164" s="14"/>
      <c r="AB164" s="13" t="str">
        <f aca="false">IF(G164&lt;&gt;"",IF(AA164="Sí",ROUND(G164*0.04*1.21,0),0),"")</f>
        <v/>
      </c>
      <c r="AC164" s="13" t="str">
        <f aca="false">IF(G164&lt;&gt;"",ROUND(G164*0.01,0),"")</f>
        <v/>
      </c>
      <c r="AD164" s="13" t="str">
        <f aca="false">IF(G164&lt;&gt;"",300,"")</f>
        <v/>
      </c>
      <c r="AE164" s="15"/>
      <c r="AF164" s="15"/>
      <c r="AG164" s="16"/>
      <c r="AH164" s="16"/>
      <c r="AI164" s="17" t="str">
        <f aca="false">IF(AND(AG164&lt;&gt;"",AH164&lt;&gt;""),(AG164+AH164)/2,"")</f>
        <v/>
      </c>
      <c r="AJ164" s="15"/>
      <c r="AK164" s="15"/>
    </row>
    <row r="165" customFormat="false" ht="15" hidden="false" customHeight="false" outlineLevel="0" collapsed="false">
      <c r="A165" s="2" t="str">
        <f aca="false">IF(E165&lt;&gt;"",ROW()-1,"")</f>
        <v/>
      </c>
      <c r="B165" s="3"/>
      <c r="C165" s="3"/>
      <c r="D165" s="3"/>
      <c r="E165" s="4"/>
      <c r="F165" s="4"/>
      <c r="G165" s="5"/>
      <c r="H165" s="4"/>
      <c r="I165" s="4"/>
      <c r="J165" s="4"/>
      <c r="K165" s="4"/>
      <c r="L165" s="6" t="str">
        <f aca="false">IF(AND(G165&lt;&gt;"",H165&gt;0),ROUND(G165/H165,0),"")</f>
        <v/>
      </c>
      <c r="M165" s="6" t="str">
        <f aca="false">IF(F165&lt;&gt;"",IFERROR(VLOOKUP(F165,TablaRef,2,FALSE()),"?"),"")</f>
        <v/>
      </c>
      <c r="N165" s="7" t="str">
        <f aca="false">IF(AND(L165&lt;&gt;"",M165&lt;&gt;"",ISNUMBER(M165)),IF(L165&lt;M165*(1-MargenPct),"🟢",IF(L165&gt;M165*(1+MargenPct),"🔴","🟡")),"")</f>
        <v/>
      </c>
      <c r="O165" s="8" t="str">
        <f aca="false">IF(G165&lt;&gt;"",W165+X165+Y165+Z165+AB165+AC165+AD165,"")</f>
        <v/>
      </c>
      <c r="P165" s="9" t="str">
        <f aca="false">IF(G165&lt;&gt;"",IF(O165&lt;=Presupuesto,"✓","✗"),"")</f>
        <v/>
      </c>
      <c r="Q165" s="10" t="str">
        <f aca="false">IF(G165&lt;&gt;"",Presupuesto-O165,"")</f>
        <v/>
      </c>
      <c r="R165" s="11"/>
      <c r="S165" s="11"/>
      <c r="T165" s="12"/>
      <c r="U165" s="12"/>
      <c r="V165" s="11"/>
      <c r="W165" s="13" t="str">
        <f aca="false">IF(G165&lt;&gt;"",MAX(G165-Credito,G165*0.1),"")</f>
        <v/>
      </c>
      <c r="X165" s="13" t="str">
        <f aca="false">IF(G165&lt;&gt;"",ROUND(G165*0.02*1.21,0),"")</f>
        <v/>
      </c>
      <c r="Y165" s="13" t="str">
        <f aca="false">IF(G165&lt;&gt;"",IF(G165&lt;=140000,0,ROUND(G165*0.0175,0)),"")</f>
        <v/>
      </c>
      <c r="Z165" s="13" t="str">
        <f aca="false">IF(G165&lt;&gt;"",ROUND(G165*0.004,0),"")</f>
        <v/>
      </c>
      <c r="AA165" s="14"/>
      <c r="AB165" s="13" t="str">
        <f aca="false">IF(G165&lt;&gt;"",IF(AA165="Sí",ROUND(G165*0.04*1.21,0),0),"")</f>
        <v/>
      </c>
      <c r="AC165" s="13" t="str">
        <f aca="false">IF(G165&lt;&gt;"",ROUND(G165*0.01,0),"")</f>
        <v/>
      </c>
      <c r="AD165" s="13" t="str">
        <f aca="false">IF(G165&lt;&gt;"",300,"")</f>
        <v/>
      </c>
      <c r="AE165" s="15"/>
      <c r="AF165" s="15"/>
      <c r="AG165" s="16"/>
      <c r="AH165" s="16"/>
      <c r="AI165" s="17" t="str">
        <f aca="false">IF(AND(AG165&lt;&gt;"",AH165&lt;&gt;""),(AG165+AH165)/2,"")</f>
        <v/>
      </c>
      <c r="AJ165" s="15"/>
      <c r="AK165" s="15"/>
    </row>
    <row r="166" customFormat="false" ht="15" hidden="false" customHeight="false" outlineLevel="0" collapsed="false">
      <c r="A166" s="2" t="str">
        <f aca="false">IF(E166&lt;&gt;"",ROW()-1,"")</f>
        <v/>
      </c>
      <c r="B166" s="3"/>
      <c r="C166" s="3"/>
      <c r="D166" s="3"/>
      <c r="E166" s="4"/>
      <c r="F166" s="4"/>
      <c r="G166" s="5"/>
      <c r="H166" s="4"/>
      <c r="I166" s="4"/>
      <c r="J166" s="4"/>
      <c r="K166" s="4"/>
      <c r="L166" s="6" t="str">
        <f aca="false">IF(AND(G166&lt;&gt;"",H166&gt;0),ROUND(G166/H166,0),"")</f>
        <v/>
      </c>
      <c r="M166" s="6" t="str">
        <f aca="false">IF(F166&lt;&gt;"",IFERROR(VLOOKUP(F166,TablaRef,2,FALSE()),"?"),"")</f>
        <v/>
      </c>
      <c r="N166" s="7" t="str">
        <f aca="false">IF(AND(L166&lt;&gt;"",M166&lt;&gt;"",ISNUMBER(M166)),IF(L166&lt;M166*(1-MargenPct),"🟢",IF(L166&gt;M166*(1+MargenPct),"🔴","🟡")),"")</f>
        <v/>
      </c>
      <c r="O166" s="8" t="str">
        <f aca="false">IF(G166&lt;&gt;"",W166+X166+Y166+Z166+AB166+AC166+AD166,"")</f>
        <v/>
      </c>
      <c r="P166" s="9" t="str">
        <f aca="false">IF(G166&lt;&gt;"",IF(O166&lt;=Presupuesto,"✓","✗"),"")</f>
        <v/>
      </c>
      <c r="Q166" s="10" t="str">
        <f aca="false">IF(G166&lt;&gt;"",Presupuesto-O166,"")</f>
        <v/>
      </c>
      <c r="R166" s="11"/>
      <c r="S166" s="11"/>
      <c r="T166" s="12"/>
      <c r="U166" s="12"/>
      <c r="V166" s="11"/>
      <c r="W166" s="13" t="str">
        <f aca="false">IF(G166&lt;&gt;"",MAX(G166-Credito,G166*0.1),"")</f>
        <v/>
      </c>
      <c r="X166" s="13" t="str">
        <f aca="false">IF(G166&lt;&gt;"",ROUND(G166*0.02*1.21,0),"")</f>
        <v/>
      </c>
      <c r="Y166" s="13" t="str">
        <f aca="false">IF(G166&lt;&gt;"",IF(G166&lt;=140000,0,ROUND(G166*0.0175,0)),"")</f>
        <v/>
      </c>
      <c r="Z166" s="13" t="str">
        <f aca="false">IF(G166&lt;&gt;"",ROUND(G166*0.004,0),"")</f>
        <v/>
      </c>
      <c r="AA166" s="14"/>
      <c r="AB166" s="13" t="str">
        <f aca="false">IF(G166&lt;&gt;"",IF(AA166="Sí",ROUND(G166*0.04*1.21,0),0),"")</f>
        <v/>
      </c>
      <c r="AC166" s="13" t="str">
        <f aca="false">IF(G166&lt;&gt;"",ROUND(G166*0.01,0),"")</f>
        <v/>
      </c>
      <c r="AD166" s="13" t="str">
        <f aca="false">IF(G166&lt;&gt;"",300,"")</f>
        <v/>
      </c>
      <c r="AE166" s="15"/>
      <c r="AF166" s="15"/>
      <c r="AG166" s="16"/>
      <c r="AH166" s="16"/>
      <c r="AI166" s="17" t="str">
        <f aca="false">IF(AND(AG166&lt;&gt;"",AH166&lt;&gt;""),(AG166+AH166)/2,"")</f>
        <v/>
      </c>
      <c r="AJ166" s="15"/>
      <c r="AK166" s="15"/>
    </row>
    <row r="167" customFormat="false" ht="15" hidden="false" customHeight="false" outlineLevel="0" collapsed="false">
      <c r="A167" s="2" t="str">
        <f aca="false">IF(E167&lt;&gt;"",ROW()-1,"")</f>
        <v/>
      </c>
      <c r="B167" s="3"/>
      <c r="C167" s="3"/>
      <c r="D167" s="3"/>
      <c r="E167" s="4"/>
      <c r="F167" s="4"/>
      <c r="G167" s="5"/>
      <c r="H167" s="4"/>
      <c r="I167" s="4"/>
      <c r="J167" s="4"/>
      <c r="K167" s="4"/>
      <c r="L167" s="6" t="str">
        <f aca="false">IF(AND(G167&lt;&gt;"",H167&gt;0),ROUND(G167/H167,0),"")</f>
        <v/>
      </c>
      <c r="M167" s="6" t="str">
        <f aca="false">IF(F167&lt;&gt;"",IFERROR(VLOOKUP(F167,TablaRef,2,FALSE()),"?"),"")</f>
        <v/>
      </c>
      <c r="N167" s="7" t="str">
        <f aca="false">IF(AND(L167&lt;&gt;"",M167&lt;&gt;"",ISNUMBER(M167)),IF(L167&lt;M167*(1-MargenPct),"🟢",IF(L167&gt;M167*(1+MargenPct),"🔴","🟡")),"")</f>
        <v/>
      </c>
      <c r="O167" s="8" t="str">
        <f aca="false">IF(G167&lt;&gt;"",W167+X167+Y167+Z167+AB167+AC167+AD167,"")</f>
        <v/>
      </c>
      <c r="P167" s="9" t="str">
        <f aca="false">IF(G167&lt;&gt;"",IF(O167&lt;=Presupuesto,"✓","✗"),"")</f>
        <v/>
      </c>
      <c r="Q167" s="10" t="str">
        <f aca="false">IF(G167&lt;&gt;"",Presupuesto-O167,"")</f>
        <v/>
      </c>
      <c r="R167" s="11"/>
      <c r="S167" s="11"/>
      <c r="T167" s="12"/>
      <c r="U167" s="12"/>
      <c r="V167" s="11"/>
      <c r="W167" s="13" t="str">
        <f aca="false">IF(G167&lt;&gt;"",MAX(G167-Credito,G167*0.1),"")</f>
        <v/>
      </c>
      <c r="X167" s="13" t="str">
        <f aca="false">IF(G167&lt;&gt;"",ROUND(G167*0.02*1.21,0),"")</f>
        <v/>
      </c>
      <c r="Y167" s="13" t="str">
        <f aca="false">IF(G167&lt;&gt;"",IF(G167&lt;=140000,0,ROUND(G167*0.0175,0)),"")</f>
        <v/>
      </c>
      <c r="Z167" s="13" t="str">
        <f aca="false">IF(G167&lt;&gt;"",ROUND(G167*0.004,0),"")</f>
        <v/>
      </c>
      <c r="AA167" s="14"/>
      <c r="AB167" s="13" t="str">
        <f aca="false">IF(G167&lt;&gt;"",IF(AA167="Sí",ROUND(G167*0.04*1.21,0),0),"")</f>
        <v/>
      </c>
      <c r="AC167" s="13" t="str">
        <f aca="false">IF(G167&lt;&gt;"",ROUND(G167*0.01,0),"")</f>
        <v/>
      </c>
      <c r="AD167" s="13" t="str">
        <f aca="false">IF(G167&lt;&gt;"",300,"")</f>
        <v/>
      </c>
      <c r="AE167" s="15"/>
      <c r="AF167" s="15"/>
      <c r="AG167" s="16"/>
      <c r="AH167" s="16"/>
      <c r="AI167" s="17" t="str">
        <f aca="false">IF(AND(AG167&lt;&gt;"",AH167&lt;&gt;""),(AG167+AH167)/2,"")</f>
        <v/>
      </c>
      <c r="AJ167" s="15"/>
      <c r="AK167" s="15"/>
    </row>
    <row r="168" customFormat="false" ht="15" hidden="false" customHeight="false" outlineLevel="0" collapsed="false">
      <c r="A168" s="2" t="str">
        <f aca="false">IF(E168&lt;&gt;"",ROW()-1,"")</f>
        <v/>
      </c>
      <c r="B168" s="3"/>
      <c r="C168" s="3"/>
      <c r="D168" s="3"/>
      <c r="E168" s="4"/>
      <c r="F168" s="4"/>
      <c r="G168" s="5"/>
      <c r="H168" s="4"/>
      <c r="I168" s="4"/>
      <c r="J168" s="4"/>
      <c r="K168" s="4"/>
      <c r="L168" s="6" t="str">
        <f aca="false">IF(AND(G168&lt;&gt;"",H168&gt;0),ROUND(G168/H168,0),"")</f>
        <v/>
      </c>
      <c r="M168" s="6" t="str">
        <f aca="false">IF(F168&lt;&gt;"",IFERROR(VLOOKUP(F168,TablaRef,2,FALSE()),"?"),"")</f>
        <v/>
      </c>
      <c r="N168" s="7" t="str">
        <f aca="false">IF(AND(L168&lt;&gt;"",M168&lt;&gt;"",ISNUMBER(M168)),IF(L168&lt;M168*(1-MargenPct),"🟢",IF(L168&gt;M168*(1+MargenPct),"🔴","🟡")),"")</f>
        <v/>
      </c>
      <c r="O168" s="8" t="str">
        <f aca="false">IF(G168&lt;&gt;"",W168+X168+Y168+Z168+AB168+AC168+AD168,"")</f>
        <v/>
      </c>
      <c r="P168" s="9" t="str">
        <f aca="false">IF(G168&lt;&gt;"",IF(O168&lt;=Presupuesto,"✓","✗"),"")</f>
        <v/>
      </c>
      <c r="Q168" s="10" t="str">
        <f aca="false">IF(G168&lt;&gt;"",Presupuesto-O168,"")</f>
        <v/>
      </c>
      <c r="R168" s="11"/>
      <c r="S168" s="11"/>
      <c r="T168" s="12"/>
      <c r="U168" s="12"/>
      <c r="V168" s="11"/>
      <c r="W168" s="13" t="str">
        <f aca="false">IF(G168&lt;&gt;"",MAX(G168-Credito,G168*0.1),"")</f>
        <v/>
      </c>
      <c r="X168" s="13" t="str">
        <f aca="false">IF(G168&lt;&gt;"",ROUND(G168*0.02*1.21,0),"")</f>
        <v/>
      </c>
      <c r="Y168" s="13" t="str">
        <f aca="false">IF(G168&lt;&gt;"",IF(G168&lt;=140000,0,ROUND(G168*0.0175,0)),"")</f>
        <v/>
      </c>
      <c r="Z168" s="13" t="str">
        <f aca="false">IF(G168&lt;&gt;"",ROUND(G168*0.004,0),"")</f>
        <v/>
      </c>
      <c r="AA168" s="14"/>
      <c r="AB168" s="13" t="str">
        <f aca="false">IF(G168&lt;&gt;"",IF(AA168="Sí",ROUND(G168*0.04*1.21,0),0),"")</f>
        <v/>
      </c>
      <c r="AC168" s="13" t="str">
        <f aca="false">IF(G168&lt;&gt;"",ROUND(G168*0.01,0),"")</f>
        <v/>
      </c>
      <c r="AD168" s="13" t="str">
        <f aca="false">IF(G168&lt;&gt;"",300,"")</f>
        <v/>
      </c>
      <c r="AE168" s="15"/>
      <c r="AF168" s="15"/>
      <c r="AG168" s="16"/>
      <c r="AH168" s="16"/>
      <c r="AI168" s="17" t="str">
        <f aca="false">IF(AND(AG168&lt;&gt;"",AH168&lt;&gt;""),(AG168+AH168)/2,"")</f>
        <v/>
      </c>
      <c r="AJ168" s="15"/>
      <c r="AK168" s="15"/>
    </row>
    <row r="169" customFormat="false" ht="15" hidden="false" customHeight="false" outlineLevel="0" collapsed="false">
      <c r="A169" s="2" t="str">
        <f aca="false">IF(E169&lt;&gt;"",ROW()-1,"")</f>
        <v/>
      </c>
      <c r="B169" s="3"/>
      <c r="C169" s="3"/>
      <c r="D169" s="3"/>
      <c r="E169" s="4"/>
      <c r="F169" s="4"/>
      <c r="G169" s="5"/>
      <c r="H169" s="4"/>
      <c r="I169" s="4"/>
      <c r="J169" s="4"/>
      <c r="K169" s="4"/>
      <c r="L169" s="6" t="str">
        <f aca="false">IF(AND(G169&lt;&gt;"",H169&gt;0),ROUND(G169/H169,0),"")</f>
        <v/>
      </c>
      <c r="M169" s="6" t="str">
        <f aca="false">IF(F169&lt;&gt;"",IFERROR(VLOOKUP(F169,TablaRef,2,FALSE()),"?"),"")</f>
        <v/>
      </c>
      <c r="N169" s="7" t="str">
        <f aca="false">IF(AND(L169&lt;&gt;"",M169&lt;&gt;"",ISNUMBER(M169)),IF(L169&lt;M169*(1-MargenPct),"🟢",IF(L169&gt;M169*(1+MargenPct),"🔴","🟡")),"")</f>
        <v/>
      </c>
      <c r="O169" s="8" t="str">
        <f aca="false">IF(G169&lt;&gt;"",W169+X169+Y169+Z169+AB169+AC169+AD169,"")</f>
        <v/>
      </c>
      <c r="P169" s="9" t="str">
        <f aca="false">IF(G169&lt;&gt;"",IF(O169&lt;=Presupuesto,"✓","✗"),"")</f>
        <v/>
      </c>
      <c r="Q169" s="10" t="str">
        <f aca="false">IF(G169&lt;&gt;"",Presupuesto-O169,"")</f>
        <v/>
      </c>
      <c r="R169" s="11"/>
      <c r="S169" s="11"/>
      <c r="T169" s="12"/>
      <c r="U169" s="12"/>
      <c r="V169" s="11"/>
      <c r="W169" s="13" t="str">
        <f aca="false">IF(G169&lt;&gt;"",MAX(G169-Credito,G169*0.1),"")</f>
        <v/>
      </c>
      <c r="X169" s="13" t="str">
        <f aca="false">IF(G169&lt;&gt;"",ROUND(G169*0.02*1.21,0),"")</f>
        <v/>
      </c>
      <c r="Y169" s="13" t="str">
        <f aca="false">IF(G169&lt;&gt;"",IF(G169&lt;=140000,0,ROUND(G169*0.0175,0)),"")</f>
        <v/>
      </c>
      <c r="Z169" s="13" t="str">
        <f aca="false">IF(G169&lt;&gt;"",ROUND(G169*0.004,0),"")</f>
        <v/>
      </c>
      <c r="AA169" s="14"/>
      <c r="AB169" s="13" t="str">
        <f aca="false">IF(G169&lt;&gt;"",IF(AA169="Sí",ROUND(G169*0.04*1.21,0),0),"")</f>
        <v/>
      </c>
      <c r="AC169" s="13" t="str">
        <f aca="false">IF(G169&lt;&gt;"",ROUND(G169*0.01,0),"")</f>
        <v/>
      </c>
      <c r="AD169" s="13" t="str">
        <f aca="false">IF(G169&lt;&gt;"",300,"")</f>
        <v/>
      </c>
      <c r="AE169" s="15"/>
      <c r="AF169" s="15"/>
      <c r="AG169" s="16"/>
      <c r="AH169" s="16"/>
      <c r="AI169" s="17" t="str">
        <f aca="false">IF(AND(AG169&lt;&gt;"",AH169&lt;&gt;""),(AG169+AH169)/2,"")</f>
        <v/>
      </c>
      <c r="AJ169" s="15"/>
      <c r="AK169" s="15"/>
    </row>
    <row r="170" customFormat="false" ht="15" hidden="false" customHeight="false" outlineLevel="0" collapsed="false">
      <c r="A170" s="2" t="str">
        <f aca="false">IF(E170&lt;&gt;"",ROW()-1,"")</f>
        <v/>
      </c>
      <c r="B170" s="3"/>
      <c r="C170" s="3"/>
      <c r="D170" s="3"/>
      <c r="E170" s="4"/>
      <c r="F170" s="4"/>
      <c r="G170" s="5"/>
      <c r="H170" s="4"/>
      <c r="I170" s="4"/>
      <c r="J170" s="4"/>
      <c r="K170" s="4"/>
      <c r="L170" s="6" t="str">
        <f aca="false">IF(AND(G170&lt;&gt;"",H170&gt;0),ROUND(G170/H170,0),"")</f>
        <v/>
      </c>
      <c r="M170" s="6" t="str">
        <f aca="false">IF(F170&lt;&gt;"",IFERROR(VLOOKUP(F170,TablaRef,2,FALSE()),"?"),"")</f>
        <v/>
      </c>
      <c r="N170" s="7" t="str">
        <f aca="false">IF(AND(L170&lt;&gt;"",M170&lt;&gt;"",ISNUMBER(M170)),IF(L170&lt;M170*(1-MargenPct),"🟢",IF(L170&gt;M170*(1+MargenPct),"🔴","🟡")),"")</f>
        <v/>
      </c>
      <c r="O170" s="8" t="str">
        <f aca="false">IF(G170&lt;&gt;"",W170+X170+Y170+Z170+AB170+AC170+AD170,"")</f>
        <v/>
      </c>
      <c r="P170" s="9" t="str">
        <f aca="false">IF(G170&lt;&gt;"",IF(O170&lt;=Presupuesto,"✓","✗"),"")</f>
        <v/>
      </c>
      <c r="Q170" s="10" t="str">
        <f aca="false">IF(G170&lt;&gt;"",Presupuesto-O170,"")</f>
        <v/>
      </c>
      <c r="R170" s="11"/>
      <c r="S170" s="11"/>
      <c r="T170" s="12"/>
      <c r="U170" s="12"/>
      <c r="V170" s="11"/>
      <c r="W170" s="13" t="str">
        <f aca="false">IF(G170&lt;&gt;"",MAX(G170-Credito,G170*0.1),"")</f>
        <v/>
      </c>
      <c r="X170" s="13" t="str">
        <f aca="false">IF(G170&lt;&gt;"",ROUND(G170*0.02*1.21,0),"")</f>
        <v/>
      </c>
      <c r="Y170" s="13" t="str">
        <f aca="false">IF(G170&lt;&gt;"",IF(G170&lt;=140000,0,ROUND(G170*0.0175,0)),"")</f>
        <v/>
      </c>
      <c r="Z170" s="13" t="str">
        <f aca="false">IF(G170&lt;&gt;"",ROUND(G170*0.004,0),"")</f>
        <v/>
      </c>
      <c r="AA170" s="14"/>
      <c r="AB170" s="13" t="str">
        <f aca="false">IF(G170&lt;&gt;"",IF(AA170="Sí",ROUND(G170*0.04*1.21,0),0),"")</f>
        <v/>
      </c>
      <c r="AC170" s="13" t="str">
        <f aca="false">IF(G170&lt;&gt;"",ROUND(G170*0.01,0),"")</f>
        <v/>
      </c>
      <c r="AD170" s="13" t="str">
        <f aca="false">IF(G170&lt;&gt;"",300,"")</f>
        <v/>
      </c>
      <c r="AE170" s="15"/>
      <c r="AF170" s="15"/>
      <c r="AG170" s="16"/>
      <c r="AH170" s="16"/>
      <c r="AI170" s="17" t="str">
        <f aca="false">IF(AND(AG170&lt;&gt;"",AH170&lt;&gt;""),(AG170+AH170)/2,"")</f>
        <v/>
      </c>
      <c r="AJ170" s="15"/>
      <c r="AK170" s="15"/>
    </row>
    <row r="171" customFormat="false" ht="15" hidden="false" customHeight="false" outlineLevel="0" collapsed="false">
      <c r="A171" s="2" t="str">
        <f aca="false">IF(E171&lt;&gt;"",ROW()-1,"")</f>
        <v/>
      </c>
      <c r="B171" s="3"/>
      <c r="C171" s="3"/>
      <c r="D171" s="3"/>
      <c r="E171" s="4"/>
      <c r="F171" s="4"/>
      <c r="G171" s="5"/>
      <c r="H171" s="4"/>
      <c r="I171" s="4"/>
      <c r="J171" s="4"/>
      <c r="K171" s="4"/>
      <c r="L171" s="6" t="str">
        <f aca="false">IF(AND(G171&lt;&gt;"",H171&gt;0),ROUND(G171/H171,0),"")</f>
        <v/>
      </c>
      <c r="M171" s="6" t="str">
        <f aca="false">IF(F171&lt;&gt;"",IFERROR(VLOOKUP(F171,TablaRef,2,FALSE()),"?"),"")</f>
        <v/>
      </c>
      <c r="N171" s="7" t="str">
        <f aca="false">IF(AND(L171&lt;&gt;"",M171&lt;&gt;"",ISNUMBER(M171)),IF(L171&lt;M171*(1-MargenPct),"🟢",IF(L171&gt;M171*(1+MargenPct),"🔴","🟡")),"")</f>
        <v/>
      </c>
      <c r="O171" s="8" t="str">
        <f aca="false">IF(G171&lt;&gt;"",W171+X171+Y171+Z171+AB171+AC171+AD171,"")</f>
        <v/>
      </c>
      <c r="P171" s="9" t="str">
        <f aca="false">IF(G171&lt;&gt;"",IF(O171&lt;=Presupuesto,"✓","✗"),"")</f>
        <v/>
      </c>
      <c r="Q171" s="10" t="str">
        <f aca="false">IF(G171&lt;&gt;"",Presupuesto-O171,"")</f>
        <v/>
      </c>
      <c r="R171" s="11"/>
      <c r="S171" s="11"/>
      <c r="T171" s="12"/>
      <c r="U171" s="12"/>
      <c r="V171" s="11"/>
      <c r="W171" s="13" t="str">
        <f aca="false">IF(G171&lt;&gt;"",MAX(G171-Credito,G171*0.1),"")</f>
        <v/>
      </c>
      <c r="X171" s="13" t="str">
        <f aca="false">IF(G171&lt;&gt;"",ROUND(G171*0.02*1.21,0),"")</f>
        <v/>
      </c>
      <c r="Y171" s="13" t="str">
        <f aca="false">IF(G171&lt;&gt;"",IF(G171&lt;=140000,0,ROUND(G171*0.0175,0)),"")</f>
        <v/>
      </c>
      <c r="Z171" s="13" t="str">
        <f aca="false">IF(G171&lt;&gt;"",ROUND(G171*0.004,0),"")</f>
        <v/>
      </c>
      <c r="AA171" s="14"/>
      <c r="AB171" s="13" t="str">
        <f aca="false">IF(G171&lt;&gt;"",IF(AA171="Sí",ROUND(G171*0.04*1.21,0),0),"")</f>
        <v/>
      </c>
      <c r="AC171" s="13" t="str">
        <f aca="false">IF(G171&lt;&gt;"",ROUND(G171*0.01,0),"")</f>
        <v/>
      </c>
      <c r="AD171" s="13" t="str">
        <f aca="false">IF(G171&lt;&gt;"",300,"")</f>
        <v/>
      </c>
      <c r="AE171" s="15"/>
      <c r="AF171" s="15"/>
      <c r="AG171" s="16"/>
      <c r="AH171" s="16"/>
      <c r="AI171" s="17" t="str">
        <f aca="false">IF(AND(AG171&lt;&gt;"",AH171&lt;&gt;""),(AG171+AH171)/2,"")</f>
        <v/>
      </c>
      <c r="AJ171" s="15"/>
      <c r="AK171" s="15"/>
    </row>
    <row r="172" customFormat="false" ht="15" hidden="false" customHeight="false" outlineLevel="0" collapsed="false">
      <c r="A172" s="2" t="str">
        <f aca="false">IF(E172&lt;&gt;"",ROW()-1,"")</f>
        <v/>
      </c>
      <c r="B172" s="3"/>
      <c r="C172" s="3"/>
      <c r="D172" s="3"/>
      <c r="E172" s="4"/>
      <c r="F172" s="4"/>
      <c r="G172" s="5"/>
      <c r="H172" s="4"/>
      <c r="I172" s="4"/>
      <c r="J172" s="4"/>
      <c r="K172" s="4"/>
      <c r="L172" s="6" t="str">
        <f aca="false">IF(AND(G172&lt;&gt;"",H172&gt;0),ROUND(G172/H172,0),"")</f>
        <v/>
      </c>
      <c r="M172" s="6" t="str">
        <f aca="false">IF(F172&lt;&gt;"",IFERROR(VLOOKUP(F172,TablaRef,2,FALSE()),"?"),"")</f>
        <v/>
      </c>
      <c r="N172" s="7" t="str">
        <f aca="false">IF(AND(L172&lt;&gt;"",M172&lt;&gt;"",ISNUMBER(M172)),IF(L172&lt;M172*(1-MargenPct),"🟢",IF(L172&gt;M172*(1+MargenPct),"🔴","🟡")),"")</f>
        <v/>
      </c>
      <c r="O172" s="8" t="str">
        <f aca="false">IF(G172&lt;&gt;"",W172+X172+Y172+Z172+AB172+AC172+AD172,"")</f>
        <v/>
      </c>
      <c r="P172" s="9" t="str">
        <f aca="false">IF(G172&lt;&gt;"",IF(O172&lt;=Presupuesto,"✓","✗"),"")</f>
        <v/>
      </c>
      <c r="Q172" s="10" t="str">
        <f aca="false">IF(G172&lt;&gt;"",Presupuesto-O172,"")</f>
        <v/>
      </c>
      <c r="R172" s="11"/>
      <c r="S172" s="11"/>
      <c r="T172" s="12"/>
      <c r="U172" s="12"/>
      <c r="V172" s="11"/>
      <c r="W172" s="13" t="str">
        <f aca="false">IF(G172&lt;&gt;"",MAX(G172-Credito,G172*0.1),"")</f>
        <v/>
      </c>
      <c r="X172" s="13" t="str">
        <f aca="false">IF(G172&lt;&gt;"",ROUND(G172*0.02*1.21,0),"")</f>
        <v/>
      </c>
      <c r="Y172" s="13" t="str">
        <f aca="false">IF(G172&lt;&gt;"",IF(G172&lt;=140000,0,ROUND(G172*0.0175,0)),"")</f>
        <v/>
      </c>
      <c r="Z172" s="13" t="str">
        <f aca="false">IF(G172&lt;&gt;"",ROUND(G172*0.004,0),"")</f>
        <v/>
      </c>
      <c r="AA172" s="14"/>
      <c r="AB172" s="13" t="str">
        <f aca="false">IF(G172&lt;&gt;"",IF(AA172="Sí",ROUND(G172*0.04*1.21,0),0),"")</f>
        <v/>
      </c>
      <c r="AC172" s="13" t="str">
        <f aca="false">IF(G172&lt;&gt;"",ROUND(G172*0.01,0),"")</f>
        <v/>
      </c>
      <c r="AD172" s="13" t="str">
        <f aca="false">IF(G172&lt;&gt;"",300,"")</f>
        <v/>
      </c>
      <c r="AE172" s="15"/>
      <c r="AF172" s="15"/>
      <c r="AG172" s="16"/>
      <c r="AH172" s="16"/>
      <c r="AI172" s="17" t="str">
        <f aca="false">IF(AND(AG172&lt;&gt;"",AH172&lt;&gt;""),(AG172+AH172)/2,"")</f>
        <v/>
      </c>
      <c r="AJ172" s="15"/>
      <c r="AK172" s="15"/>
    </row>
    <row r="173" customFormat="false" ht="15" hidden="false" customHeight="false" outlineLevel="0" collapsed="false">
      <c r="A173" s="2" t="str">
        <f aca="false">IF(E173&lt;&gt;"",ROW()-1,"")</f>
        <v/>
      </c>
      <c r="B173" s="3"/>
      <c r="C173" s="3"/>
      <c r="D173" s="3"/>
      <c r="E173" s="4"/>
      <c r="F173" s="4"/>
      <c r="G173" s="5"/>
      <c r="H173" s="4"/>
      <c r="I173" s="4"/>
      <c r="J173" s="4"/>
      <c r="K173" s="4"/>
      <c r="L173" s="6" t="str">
        <f aca="false">IF(AND(G173&lt;&gt;"",H173&gt;0),ROUND(G173/H173,0),"")</f>
        <v/>
      </c>
      <c r="M173" s="6" t="str">
        <f aca="false">IF(F173&lt;&gt;"",IFERROR(VLOOKUP(F173,TablaRef,2,FALSE()),"?"),"")</f>
        <v/>
      </c>
      <c r="N173" s="7" t="str">
        <f aca="false">IF(AND(L173&lt;&gt;"",M173&lt;&gt;"",ISNUMBER(M173)),IF(L173&lt;M173*(1-MargenPct),"🟢",IF(L173&gt;M173*(1+MargenPct),"🔴","🟡")),"")</f>
        <v/>
      </c>
      <c r="O173" s="8" t="str">
        <f aca="false">IF(G173&lt;&gt;"",W173+X173+Y173+Z173+AB173+AC173+AD173,"")</f>
        <v/>
      </c>
      <c r="P173" s="9" t="str">
        <f aca="false">IF(G173&lt;&gt;"",IF(O173&lt;=Presupuesto,"✓","✗"),"")</f>
        <v/>
      </c>
      <c r="Q173" s="10" t="str">
        <f aca="false">IF(G173&lt;&gt;"",Presupuesto-O173,"")</f>
        <v/>
      </c>
      <c r="R173" s="11"/>
      <c r="S173" s="11"/>
      <c r="T173" s="12"/>
      <c r="U173" s="12"/>
      <c r="V173" s="11"/>
      <c r="W173" s="13" t="str">
        <f aca="false">IF(G173&lt;&gt;"",MAX(G173-Credito,G173*0.1),"")</f>
        <v/>
      </c>
      <c r="X173" s="13" t="str">
        <f aca="false">IF(G173&lt;&gt;"",ROUND(G173*0.02*1.21,0),"")</f>
        <v/>
      </c>
      <c r="Y173" s="13" t="str">
        <f aca="false">IF(G173&lt;&gt;"",IF(G173&lt;=140000,0,ROUND(G173*0.0175,0)),"")</f>
        <v/>
      </c>
      <c r="Z173" s="13" t="str">
        <f aca="false">IF(G173&lt;&gt;"",ROUND(G173*0.004,0),"")</f>
        <v/>
      </c>
      <c r="AA173" s="14"/>
      <c r="AB173" s="13" t="str">
        <f aca="false">IF(G173&lt;&gt;"",IF(AA173="Sí",ROUND(G173*0.04*1.21,0),0),"")</f>
        <v/>
      </c>
      <c r="AC173" s="13" t="str">
        <f aca="false">IF(G173&lt;&gt;"",ROUND(G173*0.01,0),"")</f>
        <v/>
      </c>
      <c r="AD173" s="13" t="str">
        <f aca="false">IF(G173&lt;&gt;"",300,"")</f>
        <v/>
      </c>
      <c r="AE173" s="15"/>
      <c r="AF173" s="15"/>
      <c r="AG173" s="16"/>
      <c r="AH173" s="16"/>
      <c r="AI173" s="17" t="str">
        <f aca="false">IF(AND(AG173&lt;&gt;"",AH173&lt;&gt;""),(AG173+AH173)/2,"")</f>
        <v/>
      </c>
      <c r="AJ173" s="15"/>
      <c r="AK173" s="15"/>
    </row>
    <row r="174" customFormat="false" ht="15" hidden="false" customHeight="false" outlineLevel="0" collapsed="false">
      <c r="A174" s="2" t="str">
        <f aca="false">IF(E174&lt;&gt;"",ROW()-1,"")</f>
        <v/>
      </c>
      <c r="B174" s="3"/>
      <c r="C174" s="3"/>
      <c r="D174" s="3"/>
      <c r="E174" s="4"/>
      <c r="F174" s="4"/>
      <c r="G174" s="5"/>
      <c r="H174" s="4"/>
      <c r="I174" s="4"/>
      <c r="J174" s="4"/>
      <c r="K174" s="4"/>
      <c r="L174" s="6" t="str">
        <f aca="false">IF(AND(G174&lt;&gt;"",H174&gt;0),ROUND(G174/H174,0),"")</f>
        <v/>
      </c>
      <c r="M174" s="6" t="str">
        <f aca="false">IF(F174&lt;&gt;"",IFERROR(VLOOKUP(F174,TablaRef,2,FALSE()),"?"),"")</f>
        <v/>
      </c>
      <c r="N174" s="7" t="str">
        <f aca="false">IF(AND(L174&lt;&gt;"",M174&lt;&gt;"",ISNUMBER(M174)),IF(L174&lt;M174*(1-MargenPct),"🟢",IF(L174&gt;M174*(1+MargenPct),"🔴","🟡")),"")</f>
        <v/>
      </c>
      <c r="O174" s="8" t="str">
        <f aca="false">IF(G174&lt;&gt;"",W174+X174+Y174+Z174+AB174+AC174+AD174,"")</f>
        <v/>
      </c>
      <c r="P174" s="9" t="str">
        <f aca="false">IF(G174&lt;&gt;"",IF(O174&lt;=Presupuesto,"✓","✗"),"")</f>
        <v/>
      </c>
      <c r="Q174" s="10" t="str">
        <f aca="false">IF(G174&lt;&gt;"",Presupuesto-O174,"")</f>
        <v/>
      </c>
      <c r="R174" s="11"/>
      <c r="S174" s="11"/>
      <c r="T174" s="12"/>
      <c r="U174" s="12"/>
      <c r="V174" s="11"/>
      <c r="W174" s="13" t="str">
        <f aca="false">IF(G174&lt;&gt;"",MAX(G174-Credito,G174*0.1),"")</f>
        <v/>
      </c>
      <c r="X174" s="13" t="str">
        <f aca="false">IF(G174&lt;&gt;"",ROUND(G174*0.02*1.21,0),"")</f>
        <v/>
      </c>
      <c r="Y174" s="13" t="str">
        <f aca="false">IF(G174&lt;&gt;"",IF(G174&lt;=140000,0,ROUND(G174*0.0175,0)),"")</f>
        <v/>
      </c>
      <c r="Z174" s="13" t="str">
        <f aca="false">IF(G174&lt;&gt;"",ROUND(G174*0.004,0),"")</f>
        <v/>
      </c>
      <c r="AA174" s="14"/>
      <c r="AB174" s="13" t="str">
        <f aca="false">IF(G174&lt;&gt;"",IF(AA174="Sí",ROUND(G174*0.04*1.21,0),0),"")</f>
        <v/>
      </c>
      <c r="AC174" s="13" t="str">
        <f aca="false">IF(G174&lt;&gt;"",ROUND(G174*0.01,0),"")</f>
        <v/>
      </c>
      <c r="AD174" s="13" t="str">
        <f aca="false">IF(G174&lt;&gt;"",300,"")</f>
        <v/>
      </c>
      <c r="AE174" s="15"/>
      <c r="AF174" s="15"/>
      <c r="AG174" s="16"/>
      <c r="AH174" s="16"/>
      <c r="AI174" s="17" t="str">
        <f aca="false">IF(AND(AG174&lt;&gt;"",AH174&lt;&gt;""),(AG174+AH174)/2,"")</f>
        <v/>
      </c>
      <c r="AJ174" s="15"/>
      <c r="AK174" s="15"/>
    </row>
    <row r="175" customFormat="false" ht="15" hidden="false" customHeight="false" outlineLevel="0" collapsed="false">
      <c r="A175" s="2" t="str">
        <f aca="false">IF(E175&lt;&gt;"",ROW()-1,"")</f>
        <v/>
      </c>
      <c r="B175" s="3"/>
      <c r="C175" s="3"/>
      <c r="D175" s="3"/>
      <c r="E175" s="4"/>
      <c r="F175" s="4"/>
      <c r="G175" s="5"/>
      <c r="H175" s="4"/>
      <c r="I175" s="4"/>
      <c r="J175" s="4"/>
      <c r="K175" s="4"/>
      <c r="L175" s="6" t="str">
        <f aca="false">IF(AND(G175&lt;&gt;"",H175&gt;0),ROUND(G175/H175,0),"")</f>
        <v/>
      </c>
      <c r="M175" s="6" t="str">
        <f aca="false">IF(F175&lt;&gt;"",IFERROR(VLOOKUP(F175,TablaRef,2,FALSE()),"?"),"")</f>
        <v/>
      </c>
      <c r="N175" s="7" t="str">
        <f aca="false">IF(AND(L175&lt;&gt;"",M175&lt;&gt;"",ISNUMBER(M175)),IF(L175&lt;M175*(1-MargenPct),"🟢",IF(L175&gt;M175*(1+MargenPct),"🔴","🟡")),"")</f>
        <v/>
      </c>
      <c r="O175" s="8" t="str">
        <f aca="false">IF(G175&lt;&gt;"",W175+X175+Y175+Z175+AB175+AC175+AD175,"")</f>
        <v/>
      </c>
      <c r="P175" s="9" t="str">
        <f aca="false">IF(G175&lt;&gt;"",IF(O175&lt;=Presupuesto,"✓","✗"),"")</f>
        <v/>
      </c>
      <c r="Q175" s="10" t="str">
        <f aca="false">IF(G175&lt;&gt;"",Presupuesto-O175,"")</f>
        <v/>
      </c>
      <c r="R175" s="11"/>
      <c r="S175" s="11"/>
      <c r="T175" s="12"/>
      <c r="U175" s="12"/>
      <c r="V175" s="11"/>
      <c r="W175" s="13" t="str">
        <f aca="false">IF(G175&lt;&gt;"",MAX(G175-Credito,G175*0.1),"")</f>
        <v/>
      </c>
      <c r="X175" s="13" t="str">
        <f aca="false">IF(G175&lt;&gt;"",ROUND(G175*0.02*1.21,0),"")</f>
        <v/>
      </c>
      <c r="Y175" s="13" t="str">
        <f aca="false">IF(G175&lt;&gt;"",IF(G175&lt;=140000,0,ROUND(G175*0.0175,0)),"")</f>
        <v/>
      </c>
      <c r="Z175" s="13" t="str">
        <f aca="false">IF(G175&lt;&gt;"",ROUND(G175*0.004,0),"")</f>
        <v/>
      </c>
      <c r="AA175" s="14"/>
      <c r="AB175" s="13" t="str">
        <f aca="false">IF(G175&lt;&gt;"",IF(AA175="Sí",ROUND(G175*0.04*1.21,0),0),"")</f>
        <v/>
      </c>
      <c r="AC175" s="13" t="str">
        <f aca="false">IF(G175&lt;&gt;"",ROUND(G175*0.01,0),"")</f>
        <v/>
      </c>
      <c r="AD175" s="13" t="str">
        <f aca="false">IF(G175&lt;&gt;"",300,"")</f>
        <v/>
      </c>
      <c r="AE175" s="15"/>
      <c r="AF175" s="15"/>
      <c r="AG175" s="16"/>
      <c r="AH175" s="16"/>
      <c r="AI175" s="17" t="str">
        <f aca="false">IF(AND(AG175&lt;&gt;"",AH175&lt;&gt;""),(AG175+AH175)/2,"")</f>
        <v/>
      </c>
      <c r="AJ175" s="15"/>
      <c r="AK175" s="15"/>
    </row>
    <row r="176" customFormat="false" ht="15" hidden="false" customHeight="false" outlineLevel="0" collapsed="false">
      <c r="A176" s="2" t="str">
        <f aca="false">IF(E176&lt;&gt;"",ROW()-1,"")</f>
        <v/>
      </c>
      <c r="B176" s="3"/>
      <c r="C176" s="3"/>
      <c r="D176" s="3"/>
      <c r="E176" s="4"/>
      <c r="F176" s="4"/>
      <c r="G176" s="5"/>
      <c r="H176" s="4"/>
      <c r="I176" s="4"/>
      <c r="J176" s="4"/>
      <c r="K176" s="4"/>
      <c r="L176" s="6" t="str">
        <f aca="false">IF(AND(G176&lt;&gt;"",H176&gt;0),ROUND(G176/H176,0),"")</f>
        <v/>
      </c>
      <c r="M176" s="6" t="str">
        <f aca="false">IF(F176&lt;&gt;"",IFERROR(VLOOKUP(F176,TablaRef,2,FALSE()),"?"),"")</f>
        <v/>
      </c>
      <c r="N176" s="7" t="str">
        <f aca="false">IF(AND(L176&lt;&gt;"",M176&lt;&gt;"",ISNUMBER(M176)),IF(L176&lt;M176*(1-MargenPct),"🟢",IF(L176&gt;M176*(1+MargenPct),"🔴","🟡")),"")</f>
        <v/>
      </c>
      <c r="O176" s="8" t="str">
        <f aca="false">IF(G176&lt;&gt;"",W176+X176+Y176+Z176+AB176+AC176+AD176,"")</f>
        <v/>
      </c>
      <c r="P176" s="9" t="str">
        <f aca="false">IF(G176&lt;&gt;"",IF(O176&lt;=Presupuesto,"✓","✗"),"")</f>
        <v/>
      </c>
      <c r="Q176" s="10" t="str">
        <f aca="false">IF(G176&lt;&gt;"",Presupuesto-O176,"")</f>
        <v/>
      </c>
      <c r="R176" s="11"/>
      <c r="S176" s="11"/>
      <c r="T176" s="12"/>
      <c r="U176" s="12"/>
      <c r="V176" s="11"/>
      <c r="W176" s="13" t="str">
        <f aca="false">IF(G176&lt;&gt;"",MAX(G176-Credito,G176*0.1),"")</f>
        <v/>
      </c>
      <c r="X176" s="13" t="str">
        <f aca="false">IF(G176&lt;&gt;"",ROUND(G176*0.02*1.21,0),"")</f>
        <v/>
      </c>
      <c r="Y176" s="13" t="str">
        <f aca="false">IF(G176&lt;&gt;"",IF(G176&lt;=140000,0,ROUND(G176*0.0175,0)),"")</f>
        <v/>
      </c>
      <c r="Z176" s="13" t="str">
        <f aca="false">IF(G176&lt;&gt;"",ROUND(G176*0.004,0),"")</f>
        <v/>
      </c>
      <c r="AA176" s="14"/>
      <c r="AB176" s="13" t="str">
        <f aca="false">IF(G176&lt;&gt;"",IF(AA176="Sí",ROUND(G176*0.04*1.21,0),0),"")</f>
        <v/>
      </c>
      <c r="AC176" s="13" t="str">
        <f aca="false">IF(G176&lt;&gt;"",ROUND(G176*0.01,0),"")</f>
        <v/>
      </c>
      <c r="AD176" s="13" t="str">
        <f aca="false">IF(G176&lt;&gt;"",300,"")</f>
        <v/>
      </c>
      <c r="AE176" s="15"/>
      <c r="AF176" s="15"/>
      <c r="AG176" s="16"/>
      <c r="AH176" s="16"/>
      <c r="AI176" s="17" t="str">
        <f aca="false">IF(AND(AG176&lt;&gt;"",AH176&lt;&gt;""),(AG176+AH176)/2,"")</f>
        <v/>
      </c>
      <c r="AJ176" s="15"/>
      <c r="AK176" s="15"/>
    </row>
    <row r="177" customFormat="false" ht="15" hidden="false" customHeight="false" outlineLevel="0" collapsed="false">
      <c r="A177" s="2" t="str">
        <f aca="false">IF(E177&lt;&gt;"",ROW()-1,"")</f>
        <v/>
      </c>
      <c r="B177" s="3"/>
      <c r="C177" s="3"/>
      <c r="D177" s="3"/>
      <c r="E177" s="4"/>
      <c r="F177" s="4"/>
      <c r="G177" s="5"/>
      <c r="H177" s="4"/>
      <c r="I177" s="4"/>
      <c r="J177" s="4"/>
      <c r="K177" s="4"/>
      <c r="L177" s="6" t="str">
        <f aca="false">IF(AND(G177&lt;&gt;"",H177&gt;0),ROUND(G177/H177,0),"")</f>
        <v/>
      </c>
      <c r="M177" s="6" t="str">
        <f aca="false">IF(F177&lt;&gt;"",IFERROR(VLOOKUP(F177,TablaRef,2,FALSE()),"?"),"")</f>
        <v/>
      </c>
      <c r="N177" s="7" t="str">
        <f aca="false">IF(AND(L177&lt;&gt;"",M177&lt;&gt;"",ISNUMBER(M177)),IF(L177&lt;M177*(1-MargenPct),"🟢",IF(L177&gt;M177*(1+MargenPct),"🔴","🟡")),"")</f>
        <v/>
      </c>
      <c r="O177" s="8" t="str">
        <f aca="false">IF(G177&lt;&gt;"",W177+X177+Y177+Z177+AB177+AC177+AD177,"")</f>
        <v/>
      </c>
      <c r="P177" s="9" t="str">
        <f aca="false">IF(G177&lt;&gt;"",IF(O177&lt;=Presupuesto,"✓","✗"),"")</f>
        <v/>
      </c>
      <c r="Q177" s="10" t="str">
        <f aca="false">IF(G177&lt;&gt;"",Presupuesto-O177,"")</f>
        <v/>
      </c>
      <c r="R177" s="11"/>
      <c r="S177" s="11"/>
      <c r="T177" s="12"/>
      <c r="U177" s="12"/>
      <c r="V177" s="11"/>
      <c r="W177" s="13" t="str">
        <f aca="false">IF(G177&lt;&gt;"",MAX(G177-Credito,G177*0.1),"")</f>
        <v/>
      </c>
      <c r="X177" s="13" t="str">
        <f aca="false">IF(G177&lt;&gt;"",ROUND(G177*0.02*1.21,0),"")</f>
        <v/>
      </c>
      <c r="Y177" s="13" t="str">
        <f aca="false">IF(G177&lt;&gt;"",IF(G177&lt;=140000,0,ROUND(G177*0.0175,0)),"")</f>
        <v/>
      </c>
      <c r="Z177" s="13" t="str">
        <f aca="false">IF(G177&lt;&gt;"",ROUND(G177*0.004,0),"")</f>
        <v/>
      </c>
      <c r="AA177" s="14"/>
      <c r="AB177" s="13" t="str">
        <f aca="false">IF(G177&lt;&gt;"",IF(AA177="Sí",ROUND(G177*0.04*1.21,0),0),"")</f>
        <v/>
      </c>
      <c r="AC177" s="13" t="str">
        <f aca="false">IF(G177&lt;&gt;"",ROUND(G177*0.01,0),"")</f>
        <v/>
      </c>
      <c r="AD177" s="13" t="str">
        <f aca="false">IF(G177&lt;&gt;"",300,"")</f>
        <v/>
      </c>
      <c r="AE177" s="15"/>
      <c r="AF177" s="15"/>
      <c r="AG177" s="16"/>
      <c r="AH177" s="16"/>
      <c r="AI177" s="17" t="str">
        <f aca="false">IF(AND(AG177&lt;&gt;"",AH177&lt;&gt;""),(AG177+AH177)/2,"")</f>
        <v/>
      </c>
      <c r="AJ177" s="15"/>
      <c r="AK177" s="15"/>
    </row>
    <row r="178" customFormat="false" ht="15" hidden="false" customHeight="false" outlineLevel="0" collapsed="false">
      <c r="A178" s="2" t="str">
        <f aca="false">IF(E178&lt;&gt;"",ROW()-1,"")</f>
        <v/>
      </c>
      <c r="B178" s="3"/>
      <c r="C178" s="3"/>
      <c r="D178" s="3"/>
      <c r="E178" s="4"/>
      <c r="F178" s="4"/>
      <c r="G178" s="5"/>
      <c r="H178" s="4"/>
      <c r="I178" s="4"/>
      <c r="J178" s="4"/>
      <c r="K178" s="4"/>
      <c r="L178" s="6" t="str">
        <f aca="false">IF(AND(G178&lt;&gt;"",H178&gt;0),ROUND(G178/H178,0),"")</f>
        <v/>
      </c>
      <c r="M178" s="6" t="str">
        <f aca="false">IF(F178&lt;&gt;"",IFERROR(VLOOKUP(F178,TablaRef,2,FALSE()),"?"),"")</f>
        <v/>
      </c>
      <c r="N178" s="7" t="str">
        <f aca="false">IF(AND(L178&lt;&gt;"",M178&lt;&gt;"",ISNUMBER(M178)),IF(L178&lt;M178*(1-MargenPct),"🟢",IF(L178&gt;M178*(1+MargenPct),"🔴","🟡")),"")</f>
        <v/>
      </c>
      <c r="O178" s="8" t="str">
        <f aca="false">IF(G178&lt;&gt;"",W178+X178+Y178+Z178+AB178+AC178+AD178,"")</f>
        <v/>
      </c>
      <c r="P178" s="9" t="str">
        <f aca="false">IF(G178&lt;&gt;"",IF(O178&lt;=Presupuesto,"✓","✗"),"")</f>
        <v/>
      </c>
      <c r="Q178" s="10" t="str">
        <f aca="false">IF(G178&lt;&gt;"",Presupuesto-O178,"")</f>
        <v/>
      </c>
      <c r="R178" s="11"/>
      <c r="S178" s="11"/>
      <c r="T178" s="12"/>
      <c r="U178" s="12"/>
      <c r="V178" s="11"/>
      <c r="W178" s="13" t="str">
        <f aca="false">IF(G178&lt;&gt;"",MAX(G178-Credito,G178*0.1),"")</f>
        <v/>
      </c>
      <c r="X178" s="13" t="str">
        <f aca="false">IF(G178&lt;&gt;"",ROUND(G178*0.02*1.21,0),"")</f>
        <v/>
      </c>
      <c r="Y178" s="13" t="str">
        <f aca="false">IF(G178&lt;&gt;"",IF(G178&lt;=140000,0,ROUND(G178*0.0175,0)),"")</f>
        <v/>
      </c>
      <c r="Z178" s="13" t="str">
        <f aca="false">IF(G178&lt;&gt;"",ROUND(G178*0.004,0),"")</f>
        <v/>
      </c>
      <c r="AA178" s="14"/>
      <c r="AB178" s="13" t="str">
        <f aca="false">IF(G178&lt;&gt;"",IF(AA178="Sí",ROUND(G178*0.04*1.21,0),0),"")</f>
        <v/>
      </c>
      <c r="AC178" s="13" t="str">
        <f aca="false">IF(G178&lt;&gt;"",ROUND(G178*0.01,0),"")</f>
        <v/>
      </c>
      <c r="AD178" s="13" t="str">
        <f aca="false">IF(G178&lt;&gt;"",300,"")</f>
        <v/>
      </c>
      <c r="AE178" s="15"/>
      <c r="AF178" s="15"/>
      <c r="AG178" s="16"/>
      <c r="AH178" s="16"/>
      <c r="AI178" s="17" t="str">
        <f aca="false">IF(AND(AG178&lt;&gt;"",AH178&lt;&gt;""),(AG178+AH178)/2,"")</f>
        <v/>
      </c>
      <c r="AJ178" s="15"/>
      <c r="AK178" s="15"/>
    </row>
    <row r="179" customFormat="false" ht="15" hidden="false" customHeight="false" outlineLevel="0" collapsed="false">
      <c r="A179" s="2" t="str">
        <f aca="false">IF(E179&lt;&gt;"",ROW()-1,"")</f>
        <v/>
      </c>
      <c r="B179" s="3"/>
      <c r="C179" s="3"/>
      <c r="D179" s="3"/>
      <c r="E179" s="4"/>
      <c r="F179" s="4"/>
      <c r="G179" s="5"/>
      <c r="H179" s="4"/>
      <c r="I179" s="4"/>
      <c r="J179" s="4"/>
      <c r="K179" s="4"/>
      <c r="L179" s="6" t="str">
        <f aca="false">IF(AND(G179&lt;&gt;"",H179&gt;0),ROUND(G179/H179,0),"")</f>
        <v/>
      </c>
      <c r="M179" s="6" t="str">
        <f aca="false">IF(F179&lt;&gt;"",IFERROR(VLOOKUP(F179,TablaRef,2,FALSE()),"?"),"")</f>
        <v/>
      </c>
      <c r="N179" s="7" t="str">
        <f aca="false">IF(AND(L179&lt;&gt;"",M179&lt;&gt;"",ISNUMBER(M179)),IF(L179&lt;M179*(1-MargenPct),"🟢",IF(L179&gt;M179*(1+MargenPct),"🔴","🟡")),"")</f>
        <v/>
      </c>
      <c r="O179" s="8" t="str">
        <f aca="false">IF(G179&lt;&gt;"",W179+X179+Y179+Z179+AB179+AC179+AD179,"")</f>
        <v/>
      </c>
      <c r="P179" s="9" t="str">
        <f aca="false">IF(G179&lt;&gt;"",IF(O179&lt;=Presupuesto,"✓","✗"),"")</f>
        <v/>
      </c>
      <c r="Q179" s="10" t="str">
        <f aca="false">IF(G179&lt;&gt;"",Presupuesto-O179,"")</f>
        <v/>
      </c>
      <c r="R179" s="11"/>
      <c r="S179" s="11"/>
      <c r="T179" s="12"/>
      <c r="U179" s="12"/>
      <c r="V179" s="11"/>
      <c r="W179" s="13" t="str">
        <f aca="false">IF(G179&lt;&gt;"",MAX(G179-Credito,G179*0.1),"")</f>
        <v/>
      </c>
      <c r="X179" s="13" t="str">
        <f aca="false">IF(G179&lt;&gt;"",ROUND(G179*0.02*1.21,0),"")</f>
        <v/>
      </c>
      <c r="Y179" s="13" t="str">
        <f aca="false">IF(G179&lt;&gt;"",IF(G179&lt;=140000,0,ROUND(G179*0.0175,0)),"")</f>
        <v/>
      </c>
      <c r="Z179" s="13" t="str">
        <f aca="false">IF(G179&lt;&gt;"",ROUND(G179*0.004,0),"")</f>
        <v/>
      </c>
      <c r="AA179" s="14"/>
      <c r="AB179" s="13" t="str">
        <f aca="false">IF(G179&lt;&gt;"",IF(AA179="Sí",ROUND(G179*0.04*1.21,0),0),"")</f>
        <v/>
      </c>
      <c r="AC179" s="13" t="str">
        <f aca="false">IF(G179&lt;&gt;"",ROUND(G179*0.01,0),"")</f>
        <v/>
      </c>
      <c r="AD179" s="13" t="str">
        <f aca="false">IF(G179&lt;&gt;"",300,"")</f>
        <v/>
      </c>
      <c r="AE179" s="15"/>
      <c r="AF179" s="15"/>
      <c r="AG179" s="16"/>
      <c r="AH179" s="16"/>
      <c r="AI179" s="17" t="str">
        <f aca="false">IF(AND(AG179&lt;&gt;"",AH179&lt;&gt;""),(AG179+AH179)/2,"")</f>
        <v/>
      </c>
      <c r="AJ179" s="15"/>
      <c r="AK179" s="15"/>
    </row>
    <row r="180" customFormat="false" ht="15" hidden="false" customHeight="false" outlineLevel="0" collapsed="false">
      <c r="A180" s="2" t="str">
        <f aca="false">IF(E180&lt;&gt;"",ROW()-1,"")</f>
        <v/>
      </c>
      <c r="B180" s="3"/>
      <c r="C180" s="3"/>
      <c r="D180" s="3"/>
      <c r="E180" s="4"/>
      <c r="F180" s="4"/>
      <c r="G180" s="5"/>
      <c r="H180" s="4"/>
      <c r="I180" s="4"/>
      <c r="J180" s="4"/>
      <c r="K180" s="4"/>
      <c r="L180" s="6" t="str">
        <f aca="false">IF(AND(G180&lt;&gt;"",H180&gt;0),ROUND(G180/H180,0),"")</f>
        <v/>
      </c>
      <c r="M180" s="6" t="str">
        <f aca="false">IF(F180&lt;&gt;"",IFERROR(VLOOKUP(F180,TablaRef,2,FALSE()),"?"),"")</f>
        <v/>
      </c>
      <c r="N180" s="7" t="str">
        <f aca="false">IF(AND(L180&lt;&gt;"",M180&lt;&gt;"",ISNUMBER(M180)),IF(L180&lt;M180*(1-MargenPct),"🟢",IF(L180&gt;M180*(1+MargenPct),"🔴","🟡")),"")</f>
        <v/>
      </c>
      <c r="O180" s="8" t="str">
        <f aca="false">IF(G180&lt;&gt;"",W180+X180+Y180+Z180+AB180+AC180+AD180,"")</f>
        <v/>
      </c>
      <c r="P180" s="9" t="str">
        <f aca="false">IF(G180&lt;&gt;"",IF(O180&lt;=Presupuesto,"✓","✗"),"")</f>
        <v/>
      </c>
      <c r="Q180" s="10" t="str">
        <f aca="false">IF(G180&lt;&gt;"",Presupuesto-O180,"")</f>
        <v/>
      </c>
      <c r="R180" s="11"/>
      <c r="S180" s="11"/>
      <c r="T180" s="12"/>
      <c r="U180" s="12"/>
      <c r="V180" s="11"/>
      <c r="W180" s="13" t="str">
        <f aca="false">IF(G180&lt;&gt;"",MAX(G180-Credito,G180*0.1),"")</f>
        <v/>
      </c>
      <c r="X180" s="13" t="str">
        <f aca="false">IF(G180&lt;&gt;"",ROUND(G180*0.02*1.21,0),"")</f>
        <v/>
      </c>
      <c r="Y180" s="13" t="str">
        <f aca="false">IF(G180&lt;&gt;"",IF(G180&lt;=140000,0,ROUND(G180*0.0175,0)),"")</f>
        <v/>
      </c>
      <c r="Z180" s="13" t="str">
        <f aca="false">IF(G180&lt;&gt;"",ROUND(G180*0.004,0),"")</f>
        <v/>
      </c>
      <c r="AA180" s="14"/>
      <c r="AB180" s="13" t="str">
        <f aca="false">IF(G180&lt;&gt;"",IF(AA180="Sí",ROUND(G180*0.04*1.21,0),0),"")</f>
        <v/>
      </c>
      <c r="AC180" s="13" t="str">
        <f aca="false">IF(G180&lt;&gt;"",ROUND(G180*0.01,0),"")</f>
        <v/>
      </c>
      <c r="AD180" s="13" t="str">
        <f aca="false">IF(G180&lt;&gt;"",300,"")</f>
        <v/>
      </c>
      <c r="AE180" s="15"/>
      <c r="AF180" s="15"/>
      <c r="AG180" s="16"/>
      <c r="AH180" s="16"/>
      <c r="AI180" s="17" t="str">
        <f aca="false">IF(AND(AG180&lt;&gt;"",AH180&lt;&gt;""),(AG180+AH180)/2,"")</f>
        <v/>
      </c>
      <c r="AJ180" s="15"/>
      <c r="AK180" s="15"/>
    </row>
    <row r="181" customFormat="false" ht="15" hidden="false" customHeight="false" outlineLevel="0" collapsed="false">
      <c r="A181" s="2" t="str">
        <f aca="false">IF(E181&lt;&gt;"",ROW()-1,"")</f>
        <v/>
      </c>
      <c r="B181" s="3"/>
      <c r="C181" s="3"/>
      <c r="D181" s="3"/>
      <c r="E181" s="4"/>
      <c r="F181" s="4"/>
      <c r="G181" s="5"/>
      <c r="H181" s="4"/>
      <c r="I181" s="4"/>
      <c r="J181" s="4"/>
      <c r="K181" s="4"/>
      <c r="L181" s="6" t="str">
        <f aca="false">IF(AND(G181&lt;&gt;"",H181&gt;0),ROUND(G181/H181,0),"")</f>
        <v/>
      </c>
      <c r="M181" s="6" t="str">
        <f aca="false">IF(F181&lt;&gt;"",IFERROR(VLOOKUP(F181,TablaRef,2,FALSE()),"?"),"")</f>
        <v/>
      </c>
      <c r="N181" s="7" t="str">
        <f aca="false">IF(AND(L181&lt;&gt;"",M181&lt;&gt;"",ISNUMBER(M181)),IF(L181&lt;M181*(1-MargenPct),"🟢",IF(L181&gt;M181*(1+MargenPct),"🔴","🟡")),"")</f>
        <v/>
      </c>
      <c r="O181" s="8" t="str">
        <f aca="false">IF(G181&lt;&gt;"",W181+X181+Y181+Z181+AB181+AC181+AD181,"")</f>
        <v/>
      </c>
      <c r="P181" s="9" t="str">
        <f aca="false">IF(G181&lt;&gt;"",IF(O181&lt;=Presupuesto,"✓","✗"),"")</f>
        <v/>
      </c>
      <c r="Q181" s="10" t="str">
        <f aca="false">IF(G181&lt;&gt;"",Presupuesto-O181,"")</f>
        <v/>
      </c>
      <c r="R181" s="11"/>
      <c r="S181" s="11"/>
      <c r="T181" s="12"/>
      <c r="U181" s="12"/>
      <c r="V181" s="11"/>
      <c r="W181" s="13" t="str">
        <f aca="false">IF(G181&lt;&gt;"",MAX(G181-Credito,G181*0.1),"")</f>
        <v/>
      </c>
      <c r="X181" s="13" t="str">
        <f aca="false">IF(G181&lt;&gt;"",ROUND(G181*0.02*1.21,0),"")</f>
        <v/>
      </c>
      <c r="Y181" s="13" t="str">
        <f aca="false">IF(G181&lt;&gt;"",IF(G181&lt;=140000,0,ROUND(G181*0.0175,0)),"")</f>
        <v/>
      </c>
      <c r="Z181" s="13" t="str">
        <f aca="false">IF(G181&lt;&gt;"",ROUND(G181*0.004,0),"")</f>
        <v/>
      </c>
      <c r="AA181" s="14"/>
      <c r="AB181" s="13" t="str">
        <f aca="false">IF(G181&lt;&gt;"",IF(AA181="Sí",ROUND(G181*0.04*1.21,0),0),"")</f>
        <v/>
      </c>
      <c r="AC181" s="13" t="str">
        <f aca="false">IF(G181&lt;&gt;"",ROUND(G181*0.01,0),"")</f>
        <v/>
      </c>
      <c r="AD181" s="13" t="str">
        <f aca="false">IF(G181&lt;&gt;"",300,"")</f>
        <v/>
      </c>
      <c r="AE181" s="15"/>
      <c r="AF181" s="15"/>
      <c r="AG181" s="16"/>
      <c r="AH181" s="16"/>
      <c r="AI181" s="17" t="str">
        <f aca="false">IF(AND(AG181&lt;&gt;"",AH181&lt;&gt;""),(AG181+AH181)/2,"")</f>
        <v/>
      </c>
      <c r="AJ181" s="15"/>
      <c r="AK181" s="15"/>
    </row>
    <row r="182" customFormat="false" ht="15" hidden="false" customHeight="false" outlineLevel="0" collapsed="false">
      <c r="A182" s="2" t="str">
        <f aca="false">IF(E182&lt;&gt;"",ROW()-1,"")</f>
        <v/>
      </c>
      <c r="B182" s="3"/>
      <c r="C182" s="3"/>
      <c r="D182" s="3"/>
      <c r="E182" s="4"/>
      <c r="F182" s="4"/>
      <c r="G182" s="5"/>
      <c r="H182" s="4"/>
      <c r="I182" s="4"/>
      <c r="J182" s="4"/>
      <c r="K182" s="4"/>
      <c r="L182" s="6" t="str">
        <f aca="false">IF(AND(G182&lt;&gt;"",H182&gt;0),ROUND(G182/H182,0),"")</f>
        <v/>
      </c>
      <c r="M182" s="6" t="str">
        <f aca="false">IF(F182&lt;&gt;"",IFERROR(VLOOKUP(F182,TablaRef,2,FALSE()),"?"),"")</f>
        <v/>
      </c>
      <c r="N182" s="7" t="str">
        <f aca="false">IF(AND(L182&lt;&gt;"",M182&lt;&gt;"",ISNUMBER(M182)),IF(L182&lt;M182*(1-MargenPct),"🟢",IF(L182&gt;M182*(1+MargenPct),"🔴","🟡")),"")</f>
        <v/>
      </c>
      <c r="O182" s="8" t="str">
        <f aca="false">IF(G182&lt;&gt;"",W182+X182+Y182+Z182+AB182+AC182+AD182,"")</f>
        <v/>
      </c>
      <c r="P182" s="9" t="str">
        <f aca="false">IF(G182&lt;&gt;"",IF(O182&lt;=Presupuesto,"✓","✗"),"")</f>
        <v/>
      </c>
      <c r="Q182" s="10" t="str">
        <f aca="false">IF(G182&lt;&gt;"",Presupuesto-O182,"")</f>
        <v/>
      </c>
      <c r="R182" s="11"/>
      <c r="S182" s="11"/>
      <c r="T182" s="12"/>
      <c r="U182" s="12"/>
      <c r="V182" s="11"/>
      <c r="W182" s="13" t="str">
        <f aca="false">IF(G182&lt;&gt;"",MAX(G182-Credito,G182*0.1),"")</f>
        <v/>
      </c>
      <c r="X182" s="13" t="str">
        <f aca="false">IF(G182&lt;&gt;"",ROUND(G182*0.02*1.21,0),"")</f>
        <v/>
      </c>
      <c r="Y182" s="13" t="str">
        <f aca="false">IF(G182&lt;&gt;"",IF(G182&lt;=140000,0,ROUND(G182*0.0175,0)),"")</f>
        <v/>
      </c>
      <c r="Z182" s="13" t="str">
        <f aca="false">IF(G182&lt;&gt;"",ROUND(G182*0.004,0),"")</f>
        <v/>
      </c>
      <c r="AA182" s="14"/>
      <c r="AB182" s="13" t="str">
        <f aca="false">IF(G182&lt;&gt;"",IF(AA182="Sí",ROUND(G182*0.04*1.21,0),0),"")</f>
        <v/>
      </c>
      <c r="AC182" s="13" t="str">
        <f aca="false">IF(G182&lt;&gt;"",ROUND(G182*0.01,0),"")</f>
        <v/>
      </c>
      <c r="AD182" s="13" t="str">
        <f aca="false">IF(G182&lt;&gt;"",300,"")</f>
        <v/>
      </c>
      <c r="AE182" s="15"/>
      <c r="AF182" s="15"/>
      <c r="AG182" s="16"/>
      <c r="AH182" s="16"/>
      <c r="AI182" s="17" t="str">
        <f aca="false">IF(AND(AG182&lt;&gt;"",AH182&lt;&gt;""),(AG182+AH182)/2,"")</f>
        <v/>
      </c>
      <c r="AJ182" s="15"/>
      <c r="AK182" s="15"/>
    </row>
    <row r="183" customFormat="false" ht="15" hidden="false" customHeight="false" outlineLevel="0" collapsed="false">
      <c r="A183" s="2" t="str">
        <f aca="false">IF(E183&lt;&gt;"",ROW()-1,"")</f>
        <v/>
      </c>
      <c r="B183" s="3"/>
      <c r="C183" s="3"/>
      <c r="D183" s="3"/>
      <c r="E183" s="4"/>
      <c r="F183" s="4"/>
      <c r="G183" s="5"/>
      <c r="H183" s="4"/>
      <c r="I183" s="4"/>
      <c r="J183" s="4"/>
      <c r="K183" s="4"/>
      <c r="L183" s="6" t="str">
        <f aca="false">IF(AND(G183&lt;&gt;"",H183&gt;0),ROUND(G183/H183,0),"")</f>
        <v/>
      </c>
      <c r="M183" s="6" t="str">
        <f aca="false">IF(F183&lt;&gt;"",IFERROR(VLOOKUP(F183,TablaRef,2,FALSE()),"?"),"")</f>
        <v/>
      </c>
      <c r="N183" s="7" t="str">
        <f aca="false">IF(AND(L183&lt;&gt;"",M183&lt;&gt;"",ISNUMBER(M183)),IF(L183&lt;M183*(1-MargenPct),"🟢",IF(L183&gt;M183*(1+MargenPct),"🔴","🟡")),"")</f>
        <v/>
      </c>
      <c r="O183" s="8" t="str">
        <f aca="false">IF(G183&lt;&gt;"",W183+X183+Y183+Z183+AB183+AC183+AD183,"")</f>
        <v/>
      </c>
      <c r="P183" s="9" t="str">
        <f aca="false">IF(G183&lt;&gt;"",IF(O183&lt;=Presupuesto,"✓","✗"),"")</f>
        <v/>
      </c>
      <c r="Q183" s="10" t="str">
        <f aca="false">IF(G183&lt;&gt;"",Presupuesto-O183,"")</f>
        <v/>
      </c>
      <c r="R183" s="11"/>
      <c r="S183" s="11"/>
      <c r="T183" s="12"/>
      <c r="U183" s="12"/>
      <c r="V183" s="11"/>
      <c r="W183" s="13" t="str">
        <f aca="false">IF(G183&lt;&gt;"",MAX(G183-Credito,G183*0.1),"")</f>
        <v/>
      </c>
      <c r="X183" s="13" t="str">
        <f aca="false">IF(G183&lt;&gt;"",ROUND(G183*0.02*1.21,0),"")</f>
        <v/>
      </c>
      <c r="Y183" s="13" t="str">
        <f aca="false">IF(G183&lt;&gt;"",IF(G183&lt;=140000,0,ROUND(G183*0.0175,0)),"")</f>
        <v/>
      </c>
      <c r="Z183" s="13" t="str">
        <f aca="false">IF(G183&lt;&gt;"",ROUND(G183*0.004,0),"")</f>
        <v/>
      </c>
      <c r="AA183" s="14"/>
      <c r="AB183" s="13" t="str">
        <f aca="false">IF(G183&lt;&gt;"",IF(AA183="Sí",ROUND(G183*0.04*1.21,0),0),"")</f>
        <v/>
      </c>
      <c r="AC183" s="13" t="str">
        <f aca="false">IF(G183&lt;&gt;"",ROUND(G183*0.01,0),"")</f>
        <v/>
      </c>
      <c r="AD183" s="13" t="str">
        <f aca="false">IF(G183&lt;&gt;"",300,"")</f>
        <v/>
      </c>
      <c r="AE183" s="15"/>
      <c r="AF183" s="15"/>
      <c r="AG183" s="16"/>
      <c r="AH183" s="16"/>
      <c r="AI183" s="17" t="str">
        <f aca="false">IF(AND(AG183&lt;&gt;"",AH183&lt;&gt;""),(AG183+AH183)/2,"")</f>
        <v/>
      </c>
      <c r="AJ183" s="15"/>
      <c r="AK183" s="15"/>
    </row>
    <row r="184" customFormat="false" ht="15" hidden="false" customHeight="false" outlineLevel="0" collapsed="false">
      <c r="A184" s="2" t="str">
        <f aca="false">IF(E184&lt;&gt;"",ROW()-1,"")</f>
        <v/>
      </c>
      <c r="B184" s="3"/>
      <c r="C184" s="3"/>
      <c r="D184" s="3"/>
      <c r="E184" s="4"/>
      <c r="F184" s="4"/>
      <c r="G184" s="5"/>
      <c r="H184" s="4"/>
      <c r="I184" s="4"/>
      <c r="J184" s="4"/>
      <c r="K184" s="4"/>
      <c r="L184" s="6" t="str">
        <f aca="false">IF(AND(G184&lt;&gt;"",H184&gt;0),ROUND(G184/H184,0),"")</f>
        <v/>
      </c>
      <c r="M184" s="6" t="str">
        <f aca="false">IF(F184&lt;&gt;"",IFERROR(VLOOKUP(F184,TablaRef,2,FALSE()),"?"),"")</f>
        <v/>
      </c>
      <c r="N184" s="7" t="str">
        <f aca="false">IF(AND(L184&lt;&gt;"",M184&lt;&gt;"",ISNUMBER(M184)),IF(L184&lt;M184*(1-MargenPct),"🟢",IF(L184&gt;M184*(1+MargenPct),"🔴","🟡")),"")</f>
        <v/>
      </c>
      <c r="O184" s="8" t="str">
        <f aca="false">IF(G184&lt;&gt;"",W184+X184+Y184+Z184+AB184+AC184+AD184,"")</f>
        <v/>
      </c>
      <c r="P184" s="9" t="str">
        <f aca="false">IF(G184&lt;&gt;"",IF(O184&lt;=Presupuesto,"✓","✗"),"")</f>
        <v/>
      </c>
      <c r="Q184" s="10" t="str">
        <f aca="false">IF(G184&lt;&gt;"",Presupuesto-O184,"")</f>
        <v/>
      </c>
      <c r="R184" s="11"/>
      <c r="S184" s="11"/>
      <c r="T184" s="12"/>
      <c r="U184" s="12"/>
      <c r="V184" s="11"/>
      <c r="W184" s="13" t="str">
        <f aca="false">IF(G184&lt;&gt;"",MAX(G184-Credito,G184*0.1),"")</f>
        <v/>
      </c>
      <c r="X184" s="13" t="str">
        <f aca="false">IF(G184&lt;&gt;"",ROUND(G184*0.02*1.21,0),"")</f>
        <v/>
      </c>
      <c r="Y184" s="13" t="str">
        <f aca="false">IF(G184&lt;&gt;"",IF(G184&lt;=140000,0,ROUND(G184*0.0175,0)),"")</f>
        <v/>
      </c>
      <c r="Z184" s="13" t="str">
        <f aca="false">IF(G184&lt;&gt;"",ROUND(G184*0.004,0),"")</f>
        <v/>
      </c>
      <c r="AA184" s="14"/>
      <c r="AB184" s="13" t="str">
        <f aca="false">IF(G184&lt;&gt;"",IF(AA184="Sí",ROUND(G184*0.04*1.21,0),0),"")</f>
        <v/>
      </c>
      <c r="AC184" s="13" t="str">
        <f aca="false">IF(G184&lt;&gt;"",ROUND(G184*0.01,0),"")</f>
        <v/>
      </c>
      <c r="AD184" s="13" t="str">
        <f aca="false">IF(G184&lt;&gt;"",300,"")</f>
        <v/>
      </c>
      <c r="AE184" s="15"/>
      <c r="AF184" s="15"/>
      <c r="AG184" s="16"/>
      <c r="AH184" s="16"/>
      <c r="AI184" s="17" t="str">
        <f aca="false">IF(AND(AG184&lt;&gt;"",AH184&lt;&gt;""),(AG184+AH184)/2,"")</f>
        <v/>
      </c>
      <c r="AJ184" s="15"/>
      <c r="AK184" s="15"/>
    </row>
    <row r="185" customFormat="false" ht="15" hidden="false" customHeight="false" outlineLevel="0" collapsed="false">
      <c r="A185" s="2" t="str">
        <f aca="false">IF(E185&lt;&gt;"",ROW()-1,"")</f>
        <v/>
      </c>
      <c r="B185" s="3"/>
      <c r="C185" s="3"/>
      <c r="D185" s="3"/>
      <c r="E185" s="4"/>
      <c r="F185" s="4"/>
      <c r="G185" s="5"/>
      <c r="H185" s="4"/>
      <c r="I185" s="4"/>
      <c r="J185" s="4"/>
      <c r="K185" s="4"/>
      <c r="L185" s="6" t="str">
        <f aca="false">IF(AND(G185&lt;&gt;"",H185&gt;0),ROUND(G185/H185,0),"")</f>
        <v/>
      </c>
      <c r="M185" s="6" t="str">
        <f aca="false">IF(F185&lt;&gt;"",IFERROR(VLOOKUP(F185,TablaRef,2,FALSE()),"?"),"")</f>
        <v/>
      </c>
      <c r="N185" s="7" t="str">
        <f aca="false">IF(AND(L185&lt;&gt;"",M185&lt;&gt;"",ISNUMBER(M185)),IF(L185&lt;M185*(1-MargenPct),"🟢",IF(L185&gt;M185*(1+MargenPct),"🔴","🟡")),"")</f>
        <v/>
      </c>
      <c r="O185" s="8" t="str">
        <f aca="false">IF(G185&lt;&gt;"",W185+X185+Y185+Z185+AB185+AC185+AD185,"")</f>
        <v/>
      </c>
      <c r="P185" s="9" t="str">
        <f aca="false">IF(G185&lt;&gt;"",IF(O185&lt;=Presupuesto,"✓","✗"),"")</f>
        <v/>
      </c>
      <c r="Q185" s="10" t="str">
        <f aca="false">IF(G185&lt;&gt;"",Presupuesto-O185,"")</f>
        <v/>
      </c>
      <c r="R185" s="11"/>
      <c r="S185" s="11"/>
      <c r="T185" s="12"/>
      <c r="U185" s="12"/>
      <c r="V185" s="11"/>
      <c r="W185" s="13" t="str">
        <f aca="false">IF(G185&lt;&gt;"",MAX(G185-Credito,G185*0.1),"")</f>
        <v/>
      </c>
      <c r="X185" s="13" t="str">
        <f aca="false">IF(G185&lt;&gt;"",ROUND(G185*0.02*1.21,0),"")</f>
        <v/>
      </c>
      <c r="Y185" s="13" t="str">
        <f aca="false">IF(G185&lt;&gt;"",IF(G185&lt;=140000,0,ROUND(G185*0.0175,0)),"")</f>
        <v/>
      </c>
      <c r="Z185" s="13" t="str">
        <f aca="false">IF(G185&lt;&gt;"",ROUND(G185*0.004,0),"")</f>
        <v/>
      </c>
      <c r="AA185" s="14"/>
      <c r="AB185" s="13" t="str">
        <f aca="false">IF(G185&lt;&gt;"",IF(AA185="Sí",ROUND(G185*0.04*1.21,0),0),"")</f>
        <v/>
      </c>
      <c r="AC185" s="13" t="str">
        <f aca="false">IF(G185&lt;&gt;"",ROUND(G185*0.01,0),"")</f>
        <v/>
      </c>
      <c r="AD185" s="13" t="str">
        <f aca="false">IF(G185&lt;&gt;"",300,"")</f>
        <v/>
      </c>
      <c r="AE185" s="15"/>
      <c r="AF185" s="15"/>
      <c r="AG185" s="16"/>
      <c r="AH185" s="16"/>
      <c r="AI185" s="17" t="str">
        <f aca="false">IF(AND(AG185&lt;&gt;"",AH185&lt;&gt;""),(AG185+AH185)/2,"")</f>
        <v/>
      </c>
      <c r="AJ185" s="15"/>
      <c r="AK185" s="15"/>
    </row>
    <row r="186" customFormat="false" ht="15" hidden="false" customHeight="false" outlineLevel="0" collapsed="false">
      <c r="A186" s="2" t="str">
        <f aca="false">IF(E186&lt;&gt;"",ROW()-1,"")</f>
        <v/>
      </c>
      <c r="B186" s="3"/>
      <c r="C186" s="3"/>
      <c r="D186" s="3"/>
      <c r="E186" s="4"/>
      <c r="F186" s="4"/>
      <c r="G186" s="5"/>
      <c r="H186" s="4"/>
      <c r="I186" s="4"/>
      <c r="J186" s="4"/>
      <c r="K186" s="4"/>
      <c r="L186" s="6" t="str">
        <f aca="false">IF(AND(G186&lt;&gt;"",H186&gt;0),ROUND(G186/H186,0),"")</f>
        <v/>
      </c>
      <c r="M186" s="6" t="str">
        <f aca="false">IF(F186&lt;&gt;"",IFERROR(VLOOKUP(F186,TablaRef,2,FALSE()),"?"),"")</f>
        <v/>
      </c>
      <c r="N186" s="7" t="str">
        <f aca="false">IF(AND(L186&lt;&gt;"",M186&lt;&gt;"",ISNUMBER(M186)),IF(L186&lt;M186*(1-MargenPct),"🟢",IF(L186&gt;M186*(1+MargenPct),"🔴","🟡")),"")</f>
        <v/>
      </c>
      <c r="O186" s="8" t="str">
        <f aca="false">IF(G186&lt;&gt;"",W186+X186+Y186+Z186+AB186+AC186+AD186,"")</f>
        <v/>
      </c>
      <c r="P186" s="9" t="str">
        <f aca="false">IF(G186&lt;&gt;"",IF(O186&lt;=Presupuesto,"✓","✗"),"")</f>
        <v/>
      </c>
      <c r="Q186" s="10" t="str">
        <f aca="false">IF(G186&lt;&gt;"",Presupuesto-O186,"")</f>
        <v/>
      </c>
      <c r="R186" s="11"/>
      <c r="S186" s="11"/>
      <c r="T186" s="12"/>
      <c r="U186" s="12"/>
      <c r="V186" s="11"/>
      <c r="W186" s="13" t="str">
        <f aca="false">IF(G186&lt;&gt;"",MAX(G186-Credito,G186*0.1),"")</f>
        <v/>
      </c>
      <c r="X186" s="13" t="str">
        <f aca="false">IF(G186&lt;&gt;"",ROUND(G186*0.02*1.21,0),"")</f>
        <v/>
      </c>
      <c r="Y186" s="13" t="str">
        <f aca="false">IF(G186&lt;&gt;"",IF(G186&lt;=140000,0,ROUND(G186*0.0175,0)),"")</f>
        <v/>
      </c>
      <c r="Z186" s="13" t="str">
        <f aca="false">IF(G186&lt;&gt;"",ROUND(G186*0.004,0),"")</f>
        <v/>
      </c>
      <c r="AA186" s="14"/>
      <c r="AB186" s="13" t="str">
        <f aca="false">IF(G186&lt;&gt;"",IF(AA186="Sí",ROUND(G186*0.04*1.21,0),0),"")</f>
        <v/>
      </c>
      <c r="AC186" s="13" t="str">
        <f aca="false">IF(G186&lt;&gt;"",ROUND(G186*0.01,0),"")</f>
        <v/>
      </c>
      <c r="AD186" s="13" t="str">
        <f aca="false">IF(G186&lt;&gt;"",300,"")</f>
        <v/>
      </c>
      <c r="AE186" s="15"/>
      <c r="AF186" s="15"/>
      <c r="AG186" s="16"/>
      <c r="AH186" s="16"/>
      <c r="AI186" s="17" t="str">
        <f aca="false">IF(AND(AG186&lt;&gt;"",AH186&lt;&gt;""),(AG186+AH186)/2,"")</f>
        <v/>
      </c>
      <c r="AJ186" s="15"/>
      <c r="AK186" s="15"/>
    </row>
    <row r="187" customFormat="false" ht="15" hidden="false" customHeight="false" outlineLevel="0" collapsed="false">
      <c r="A187" s="2" t="str">
        <f aca="false">IF(E187&lt;&gt;"",ROW()-1,"")</f>
        <v/>
      </c>
      <c r="B187" s="3"/>
      <c r="C187" s="3"/>
      <c r="D187" s="3"/>
      <c r="E187" s="4"/>
      <c r="F187" s="4"/>
      <c r="G187" s="5"/>
      <c r="H187" s="4"/>
      <c r="I187" s="4"/>
      <c r="J187" s="4"/>
      <c r="K187" s="4"/>
      <c r="L187" s="6" t="str">
        <f aca="false">IF(AND(G187&lt;&gt;"",H187&gt;0),ROUND(G187/H187,0),"")</f>
        <v/>
      </c>
      <c r="M187" s="6" t="str">
        <f aca="false">IF(F187&lt;&gt;"",IFERROR(VLOOKUP(F187,TablaRef,2,FALSE()),"?"),"")</f>
        <v/>
      </c>
      <c r="N187" s="7" t="str">
        <f aca="false">IF(AND(L187&lt;&gt;"",M187&lt;&gt;"",ISNUMBER(M187)),IF(L187&lt;M187*(1-MargenPct),"🟢",IF(L187&gt;M187*(1+MargenPct),"🔴","🟡")),"")</f>
        <v/>
      </c>
      <c r="O187" s="8" t="str">
        <f aca="false">IF(G187&lt;&gt;"",W187+X187+Y187+Z187+AB187+AC187+AD187,"")</f>
        <v/>
      </c>
      <c r="P187" s="9" t="str">
        <f aca="false">IF(G187&lt;&gt;"",IF(O187&lt;=Presupuesto,"✓","✗"),"")</f>
        <v/>
      </c>
      <c r="Q187" s="10" t="str">
        <f aca="false">IF(G187&lt;&gt;"",Presupuesto-O187,"")</f>
        <v/>
      </c>
      <c r="R187" s="11"/>
      <c r="S187" s="11"/>
      <c r="T187" s="12"/>
      <c r="U187" s="12"/>
      <c r="V187" s="11"/>
      <c r="W187" s="13" t="str">
        <f aca="false">IF(G187&lt;&gt;"",MAX(G187-Credito,G187*0.1),"")</f>
        <v/>
      </c>
      <c r="X187" s="13" t="str">
        <f aca="false">IF(G187&lt;&gt;"",ROUND(G187*0.02*1.21,0),"")</f>
        <v/>
      </c>
      <c r="Y187" s="13" t="str">
        <f aca="false">IF(G187&lt;&gt;"",IF(G187&lt;=140000,0,ROUND(G187*0.0175,0)),"")</f>
        <v/>
      </c>
      <c r="Z187" s="13" t="str">
        <f aca="false">IF(G187&lt;&gt;"",ROUND(G187*0.004,0),"")</f>
        <v/>
      </c>
      <c r="AA187" s="14"/>
      <c r="AB187" s="13" t="str">
        <f aca="false">IF(G187&lt;&gt;"",IF(AA187="Sí",ROUND(G187*0.04*1.21,0),0),"")</f>
        <v/>
      </c>
      <c r="AC187" s="13" t="str">
        <f aca="false">IF(G187&lt;&gt;"",ROUND(G187*0.01,0),"")</f>
        <v/>
      </c>
      <c r="AD187" s="13" t="str">
        <f aca="false">IF(G187&lt;&gt;"",300,"")</f>
        <v/>
      </c>
      <c r="AE187" s="15"/>
      <c r="AF187" s="15"/>
      <c r="AG187" s="16"/>
      <c r="AH187" s="16"/>
      <c r="AI187" s="17" t="str">
        <f aca="false">IF(AND(AG187&lt;&gt;"",AH187&lt;&gt;""),(AG187+AH187)/2,"")</f>
        <v/>
      </c>
      <c r="AJ187" s="15"/>
      <c r="AK187" s="15"/>
    </row>
    <row r="188" customFormat="false" ht="15" hidden="false" customHeight="false" outlineLevel="0" collapsed="false">
      <c r="A188" s="2" t="str">
        <f aca="false">IF(E188&lt;&gt;"",ROW()-1,"")</f>
        <v/>
      </c>
      <c r="B188" s="3"/>
      <c r="C188" s="3"/>
      <c r="D188" s="3"/>
      <c r="E188" s="4"/>
      <c r="F188" s="4"/>
      <c r="G188" s="5"/>
      <c r="H188" s="4"/>
      <c r="I188" s="4"/>
      <c r="J188" s="4"/>
      <c r="K188" s="4"/>
      <c r="L188" s="6" t="str">
        <f aca="false">IF(AND(G188&lt;&gt;"",H188&gt;0),ROUND(G188/H188,0),"")</f>
        <v/>
      </c>
      <c r="M188" s="6" t="str">
        <f aca="false">IF(F188&lt;&gt;"",IFERROR(VLOOKUP(F188,TablaRef,2,FALSE()),"?"),"")</f>
        <v/>
      </c>
      <c r="N188" s="7" t="str">
        <f aca="false">IF(AND(L188&lt;&gt;"",M188&lt;&gt;"",ISNUMBER(M188)),IF(L188&lt;M188*(1-MargenPct),"🟢",IF(L188&gt;M188*(1+MargenPct),"🔴","🟡")),"")</f>
        <v/>
      </c>
      <c r="O188" s="8" t="str">
        <f aca="false">IF(G188&lt;&gt;"",W188+X188+Y188+Z188+AB188+AC188+AD188,"")</f>
        <v/>
      </c>
      <c r="P188" s="9" t="str">
        <f aca="false">IF(G188&lt;&gt;"",IF(O188&lt;=Presupuesto,"✓","✗"),"")</f>
        <v/>
      </c>
      <c r="Q188" s="10" t="str">
        <f aca="false">IF(G188&lt;&gt;"",Presupuesto-O188,"")</f>
        <v/>
      </c>
      <c r="R188" s="11"/>
      <c r="S188" s="11"/>
      <c r="T188" s="12"/>
      <c r="U188" s="12"/>
      <c r="V188" s="11"/>
      <c r="W188" s="13" t="str">
        <f aca="false">IF(G188&lt;&gt;"",MAX(G188-Credito,G188*0.1),"")</f>
        <v/>
      </c>
      <c r="X188" s="13" t="str">
        <f aca="false">IF(G188&lt;&gt;"",ROUND(G188*0.02*1.21,0),"")</f>
        <v/>
      </c>
      <c r="Y188" s="13" t="str">
        <f aca="false">IF(G188&lt;&gt;"",IF(G188&lt;=140000,0,ROUND(G188*0.0175,0)),"")</f>
        <v/>
      </c>
      <c r="Z188" s="13" t="str">
        <f aca="false">IF(G188&lt;&gt;"",ROUND(G188*0.004,0),"")</f>
        <v/>
      </c>
      <c r="AA188" s="14"/>
      <c r="AB188" s="13" t="str">
        <f aca="false">IF(G188&lt;&gt;"",IF(AA188="Sí",ROUND(G188*0.04*1.21,0),0),"")</f>
        <v/>
      </c>
      <c r="AC188" s="13" t="str">
        <f aca="false">IF(G188&lt;&gt;"",ROUND(G188*0.01,0),"")</f>
        <v/>
      </c>
      <c r="AD188" s="13" t="str">
        <f aca="false">IF(G188&lt;&gt;"",300,"")</f>
        <v/>
      </c>
      <c r="AE188" s="15"/>
      <c r="AF188" s="15"/>
      <c r="AG188" s="16"/>
      <c r="AH188" s="16"/>
      <c r="AI188" s="17" t="str">
        <f aca="false">IF(AND(AG188&lt;&gt;"",AH188&lt;&gt;""),(AG188+AH188)/2,"")</f>
        <v/>
      </c>
      <c r="AJ188" s="15"/>
      <c r="AK188" s="15"/>
    </row>
    <row r="189" customFormat="false" ht="15" hidden="false" customHeight="false" outlineLevel="0" collapsed="false">
      <c r="A189" s="2" t="str">
        <f aca="false">IF(E189&lt;&gt;"",ROW()-1,"")</f>
        <v/>
      </c>
      <c r="B189" s="3"/>
      <c r="C189" s="3"/>
      <c r="D189" s="3"/>
      <c r="E189" s="4"/>
      <c r="F189" s="4"/>
      <c r="G189" s="5"/>
      <c r="H189" s="4"/>
      <c r="I189" s="4"/>
      <c r="J189" s="4"/>
      <c r="K189" s="4"/>
      <c r="L189" s="6" t="str">
        <f aca="false">IF(AND(G189&lt;&gt;"",H189&gt;0),ROUND(G189/H189,0),"")</f>
        <v/>
      </c>
      <c r="M189" s="6" t="str">
        <f aca="false">IF(F189&lt;&gt;"",IFERROR(VLOOKUP(F189,TablaRef,2,FALSE()),"?"),"")</f>
        <v/>
      </c>
      <c r="N189" s="7" t="str">
        <f aca="false">IF(AND(L189&lt;&gt;"",M189&lt;&gt;"",ISNUMBER(M189)),IF(L189&lt;M189*(1-MargenPct),"🟢",IF(L189&gt;M189*(1+MargenPct),"🔴","🟡")),"")</f>
        <v/>
      </c>
      <c r="O189" s="8" t="str">
        <f aca="false">IF(G189&lt;&gt;"",W189+X189+Y189+Z189+AB189+AC189+AD189,"")</f>
        <v/>
      </c>
      <c r="P189" s="9" t="str">
        <f aca="false">IF(G189&lt;&gt;"",IF(O189&lt;=Presupuesto,"✓","✗"),"")</f>
        <v/>
      </c>
      <c r="Q189" s="10" t="str">
        <f aca="false">IF(G189&lt;&gt;"",Presupuesto-O189,"")</f>
        <v/>
      </c>
      <c r="R189" s="11"/>
      <c r="S189" s="11"/>
      <c r="T189" s="12"/>
      <c r="U189" s="12"/>
      <c r="V189" s="11"/>
      <c r="W189" s="13" t="str">
        <f aca="false">IF(G189&lt;&gt;"",MAX(G189-Credito,G189*0.1),"")</f>
        <v/>
      </c>
      <c r="X189" s="13" t="str">
        <f aca="false">IF(G189&lt;&gt;"",ROUND(G189*0.02*1.21,0),"")</f>
        <v/>
      </c>
      <c r="Y189" s="13" t="str">
        <f aca="false">IF(G189&lt;&gt;"",IF(G189&lt;=140000,0,ROUND(G189*0.0175,0)),"")</f>
        <v/>
      </c>
      <c r="Z189" s="13" t="str">
        <f aca="false">IF(G189&lt;&gt;"",ROUND(G189*0.004,0),"")</f>
        <v/>
      </c>
      <c r="AA189" s="14"/>
      <c r="AB189" s="13" t="str">
        <f aca="false">IF(G189&lt;&gt;"",IF(AA189="Sí",ROUND(G189*0.04*1.21,0),0),"")</f>
        <v/>
      </c>
      <c r="AC189" s="13" t="str">
        <f aca="false">IF(G189&lt;&gt;"",ROUND(G189*0.01,0),"")</f>
        <v/>
      </c>
      <c r="AD189" s="13" t="str">
        <f aca="false">IF(G189&lt;&gt;"",300,"")</f>
        <v/>
      </c>
      <c r="AE189" s="15"/>
      <c r="AF189" s="15"/>
      <c r="AG189" s="16"/>
      <c r="AH189" s="16"/>
      <c r="AI189" s="17" t="str">
        <f aca="false">IF(AND(AG189&lt;&gt;"",AH189&lt;&gt;""),(AG189+AH189)/2,"")</f>
        <v/>
      </c>
      <c r="AJ189" s="15"/>
      <c r="AK189" s="15"/>
    </row>
    <row r="190" customFormat="false" ht="15" hidden="false" customHeight="false" outlineLevel="0" collapsed="false">
      <c r="A190" s="2" t="str">
        <f aca="false">IF(E190&lt;&gt;"",ROW()-1,"")</f>
        <v/>
      </c>
      <c r="B190" s="3"/>
      <c r="C190" s="3"/>
      <c r="D190" s="3"/>
      <c r="E190" s="4"/>
      <c r="F190" s="4"/>
      <c r="G190" s="5"/>
      <c r="H190" s="4"/>
      <c r="I190" s="4"/>
      <c r="J190" s="4"/>
      <c r="K190" s="4"/>
      <c r="L190" s="6" t="str">
        <f aca="false">IF(AND(G190&lt;&gt;"",H190&gt;0),ROUND(G190/H190,0),"")</f>
        <v/>
      </c>
      <c r="M190" s="6" t="str">
        <f aca="false">IF(F190&lt;&gt;"",IFERROR(VLOOKUP(F190,TablaRef,2,FALSE()),"?"),"")</f>
        <v/>
      </c>
      <c r="N190" s="7" t="str">
        <f aca="false">IF(AND(L190&lt;&gt;"",M190&lt;&gt;"",ISNUMBER(M190)),IF(L190&lt;M190*(1-MargenPct),"🟢",IF(L190&gt;M190*(1+MargenPct),"🔴","🟡")),"")</f>
        <v/>
      </c>
      <c r="O190" s="8" t="str">
        <f aca="false">IF(G190&lt;&gt;"",W190+X190+Y190+Z190+AB190+AC190+AD190,"")</f>
        <v/>
      </c>
      <c r="P190" s="9" t="str">
        <f aca="false">IF(G190&lt;&gt;"",IF(O190&lt;=Presupuesto,"✓","✗"),"")</f>
        <v/>
      </c>
      <c r="Q190" s="10" t="str">
        <f aca="false">IF(G190&lt;&gt;"",Presupuesto-O190,"")</f>
        <v/>
      </c>
      <c r="R190" s="11"/>
      <c r="S190" s="11"/>
      <c r="T190" s="12"/>
      <c r="U190" s="12"/>
      <c r="V190" s="11"/>
      <c r="W190" s="13" t="str">
        <f aca="false">IF(G190&lt;&gt;"",MAX(G190-Credito,G190*0.1),"")</f>
        <v/>
      </c>
      <c r="X190" s="13" t="str">
        <f aca="false">IF(G190&lt;&gt;"",ROUND(G190*0.02*1.21,0),"")</f>
        <v/>
      </c>
      <c r="Y190" s="13" t="str">
        <f aca="false">IF(G190&lt;&gt;"",IF(G190&lt;=140000,0,ROUND(G190*0.0175,0)),"")</f>
        <v/>
      </c>
      <c r="Z190" s="13" t="str">
        <f aca="false">IF(G190&lt;&gt;"",ROUND(G190*0.004,0),"")</f>
        <v/>
      </c>
      <c r="AA190" s="14"/>
      <c r="AB190" s="13" t="str">
        <f aca="false">IF(G190&lt;&gt;"",IF(AA190="Sí",ROUND(G190*0.04*1.21,0),0),"")</f>
        <v/>
      </c>
      <c r="AC190" s="13" t="str">
        <f aca="false">IF(G190&lt;&gt;"",ROUND(G190*0.01,0),"")</f>
        <v/>
      </c>
      <c r="AD190" s="13" t="str">
        <f aca="false">IF(G190&lt;&gt;"",300,"")</f>
        <v/>
      </c>
      <c r="AE190" s="15"/>
      <c r="AF190" s="15"/>
      <c r="AG190" s="16"/>
      <c r="AH190" s="16"/>
      <c r="AI190" s="17" t="str">
        <f aca="false">IF(AND(AG190&lt;&gt;"",AH190&lt;&gt;""),(AG190+AH190)/2,"")</f>
        <v/>
      </c>
      <c r="AJ190" s="15"/>
      <c r="AK190" s="15"/>
    </row>
    <row r="191" customFormat="false" ht="15" hidden="false" customHeight="false" outlineLevel="0" collapsed="false">
      <c r="A191" s="2" t="str">
        <f aca="false">IF(E191&lt;&gt;"",ROW()-1,"")</f>
        <v/>
      </c>
      <c r="B191" s="3"/>
      <c r="C191" s="3"/>
      <c r="D191" s="3"/>
      <c r="E191" s="4"/>
      <c r="F191" s="4"/>
      <c r="G191" s="5"/>
      <c r="H191" s="4"/>
      <c r="I191" s="4"/>
      <c r="J191" s="4"/>
      <c r="K191" s="4"/>
      <c r="L191" s="6" t="str">
        <f aca="false">IF(AND(G191&lt;&gt;"",H191&gt;0),ROUND(G191/H191,0),"")</f>
        <v/>
      </c>
      <c r="M191" s="6" t="str">
        <f aca="false">IF(F191&lt;&gt;"",IFERROR(VLOOKUP(F191,TablaRef,2,FALSE()),"?"),"")</f>
        <v/>
      </c>
      <c r="N191" s="7" t="str">
        <f aca="false">IF(AND(L191&lt;&gt;"",M191&lt;&gt;"",ISNUMBER(M191)),IF(L191&lt;M191*(1-MargenPct),"🟢",IF(L191&gt;M191*(1+MargenPct),"🔴","🟡")),"")</f>
        <v/>
      </c>
      <c r="O191" s="8" t="str">
        <f aca="false">IF(G191&lt;&gt;"",W191+X191+Y191+Z191+AB191+AC191+AD191,"")</f>
        <v/>
      </c>
      <c r="P191" s="9" t="str">
        <f aca="false">IF(G191&lt;&gt;"",IF(O191&lt;=Presupuesto,"✓","✗"),"")</f>
        <v/>
      </c>
      <c r="Q191" s="10" t="str">
        <f aca="false">IF(G191&lt;&gt;"",Presupuesto-O191,"")</f>
        <v/>
      </c>
      <c r="R191" s="11"/>
      <c r="S191" s="11"/>
      <c r="T191" s="12"/>
      <c r="U191" s="12"/>
      <c r="V191" s="11"/>
      <c r="W191" s="13" t="str">
        <f aca="false">IF(G191&lt;&gt;"",MAX(G191-Credito,G191*0.1),"")</f>
        <v/>
      </c>
      <c r="X191" s="13" t="str">
        <f aca="false">IF(G191&lt;&gt;"",ROUND(G191*0.02*1.21,0),"")</f>
        <v/>
      </c>
      <c r="Y191" s="13" t="str">
        <f aca="false">IF(G191&lt;&gt;"",IF(G191&lt;=140000,0,ROUND(G191*0.0175,0)),"")</f>
        <v/>
      </c>
      <c r="Z191" s="13" t="str">
        <f aca="false">IF(G191&lt;&gt;"",ROUND(G191*0.004,0),"")</f>
        <v/>
      </c>
      <c r="AA191" s="14"/>
      <c r="AB191" s="13" t="str">
        <f aca="false">IF(G191&lt;&gt;"",IF(AA191="Sí",ROUND(G191*0.04*1.21,0),0),"")</f>
        <v/>
      </c>
      <c r="AC191" s="13" t="str">
        <f aca="false">IF(G191&lt;&gt;"",ROUND(G191*0.01,0),"")</f>
        <v/>
      </c>
      <c r="AD191" s="13" t="str">
        <f aca="false">IF(G191&lt;&gt;"",300,"")</f>
        <v/>
      </c>
      <c r="AE191" s="15"/>
      <c r="AF191" s="15"/>
      <c r="AG191" s="16"/>
      <c r="AH191" s="16"/>
      <c r="AI191" s="17" t="str">
        <f aca="false">IF(AND(AG191&lt;&gt;"",AH191&lt;&gt;""),(AG191+AH191)/2,"")</f>
        <v/>
      </c>
      <c r="AJ191" s="15"/>
      <c r="AK191" s="15"/>
    </row>
    <row r="192" customFormat="false" ht="15" hidden="false" customHeight="false" outlineLevel="0" collapsed="false">
      <c r="A192" s="2" t="str">
        <f aca="false">IF(E192&lt;&gt;"",ROW()-1,"")</f>
        <v/>
      </c>
      <c r="B192" s="3"/>
      <c r="C192" s="3"/>
      <c r="D192" s="3"/>
      <c r="E192" s="4"/>
      <c r="F192" s="4"/>
      <c r="G192" s="5"/>
      <c r="H192" s="4"/>
      <c r="I192" s="4"/>
      <c r="J192" s="4"/>
      <c r="K192" s="4"/>
      <c r="L192" s="6" t="str">
        <f aca="false">IF(AND(G192&lt;&gt;"",H192&gt;0),ROUND(G192/H192,0),"")</f>
        <v/>
      </c>
      <c r="M192" s="6" t="str">
        <f aca="false">IF(F192&lt;&gt;"",IFERROR(VLOOKUP(F192,TablaRef,2,FALSE()),"?"),"")</f>
        <v/>
      </c>
      <c r="N192" s="7" t="str">
        <f aca="false">IF(AND(L192&lt;&gt;"",M192&lt;&gt;"",ISNUMBER(M192)),IF(L192&lt;M192*(1-MargenPct),"🟢",IF(L192&gt;M192*(1+MargenPct),"🔴","🟡")),"")</f>
        <v/>
      </c>
      <c r="O192" s="8" t="str">
        <f aca="false">IF(G192&lt;&gt;"",W192+X192+Y192+Z192+AB192+AC192+AD192,"")</f>
        <v/>
      </c>
      <c r="P192" s="9" t="str">
        <f aca="false">IF(G192&lt;&gt;"",IF(O192&lt;=Presupuesto,"✓","✗"),"")</f>
        <v/>
      </c>
      <c r="Q192" s="10" t="str">
        <f aca="false">IF(G192&lt;&gt;"",Presupuesto-O192,"")</f>
        <v/>
      </c>
      <c r="R192" s="11"/>
      <c r="S192" s="11"/>
      <c r="T192" s="12"/>
      <c r="U192" s="12"/>
      <c r="V192" s="11"/>
      <c r="W192" s="13" t="str">
        <f aca="false">IF(G192&lt;&gt;"",MAX(G192-Credito,G192*0.1),"")</f>
        <v/>
      </c>
      <c r="X192" s="13" t="str">
        <f aca="false">IF(G192&lt;&gt;"",ROUND(G192*0.02*1.21,0),"")</f>
        <v/>
      </c>
      <c r="Y192" s="13" t="str">
        <f aca="false">IF(G192&lt;&gt;"",IF(G192&lt;=140000,0,ROUND(G192*0.0175,0)),"")</f>
        <v/>
      </c>
      <c r="Z192" s="13" t="str">
        <f aca="false">IF(G192&lt;&gt;"",ROUND(G192*0.004,0),"")</f>
        <v/>
      </c>
      <c r="AA192" s="14"/>
      <c r="AB192" s="13" t="str">
        <f aca="false">IF(G192&lt;&gt;"",IF(AA192="Sí",ROUND(G192*0.04*1.21,0),0),"")</f>
        <v/>
      </c>
      <c r="AC192" s="13" t="str">
        <f aca="false">IF(G192&lt;&gt;"",ROUND(G192*0.01,0),"")</f>
        <v/>
      </c>
      <c r="AD192" s="13" t="str">
        <f aca="false">IF(G192&lt;&gt;"",300,"")</f>
        <v/>
      </c>
      <c r="AE192" s="15"/>
      <c r="AF192" s="15"/>
      <c r="AG192" s="16"/>
      <c r="AH192" s="16"/>
      <c r="AI192" s="17" t="str">
        <f aca="false">IF(AND(AG192&lt;&gt;"",AH192&lt;&gt;""),(AG192+AH192)/2,"")</f>
        <v/>
      </c>
      <c r="AJ192" s="15"/>
      <c r="AK192" s="15"/>
    </row>
    <row r="193" customFormat="false" ht="15" hidden="false" customHeight="false" outlineLevel="0" collapsed="false">
      <c r="A193" s="2" t="str">
        <f aca="false">IF(E193&lt;&gt;"",ROW()-1,"")</f>
        <v/>
      </c>
      <c r="B193" s="3"/>
      <c r="C193" s="3"/>
      <c r="D193" s="3"/>
      <c r="E193" s="4"/>
      <c r="F193" s="4"/>
      <c r="G193" s="5"/>
      <c r="H193" s="4"/>
      <c r="I193" s="4"/>
      <c r="J193" s="4"/>
      <c r="K193" s="4"/>
      <c r="L193" s="6" t="str">
        <f aca="false">IF(AND(G193&lt;&gt;"",H193&gt;0),ROUND(G193/H193,0),"")</f>
        <v/>
      </c>
      <c r="M193" s="6" t="str">
        <f aca="false">IF(F193&lt;&gt;"",IFERROR(VLOOKUP(F193,TablaRef,2,FALSE()),"?"),"")</f>
        <v/>
      </c>
      <c r="N193" s="7" t="str">
        <f aca="false">IF(AND(L193&lt;&gt;"",M193&lt;&gt;"",ISNUMBER(M193)),IF(L193&lt;M193*(1-MargenPct),"🟢",IF(L193&gt;M193*(1+MargenPct),"🔴","🟡")),"")</f>
        <v/>
      </c>
      <c r="O193" s="8" t="str">
        <f aca="false">IF(G193&lt;&gt;"",W193+X193+Y193+Z193+AB193+AC193+AD193,"")</f>
        <v/>
      </c>
      <c r="P193" s="9" t="str">
        <f aca="false">IF(G193&lt;&gt;"",IF(O193&lt;=Presupuesto,"✓","✗"),"")</f>
        <v/>
      </c>
      <c r="Q193" s="10" t="str">
        <f aca="false">IF(G193&lt;&gt;"",Presupuesto-O193,"")</f>
        <v/>
      </c>
      <c r="R193" s="11"/>
      <c r="S193" s="11"/>
      <c r="T193" s="12"/>
      <c r="U193" s="12"/>
      <c r="V193" s="11"/>
      <c r="W193" s="13" t="str">
        <f aca="false">IF(G193&lt;&gt;"",MAX(G193-Credito,G193*0.1),"")</f>
        <v/>
      </c>
      <c r="X193" s="13" t="str">
        <f aca="false">IF(G193&lt;&gt;"",ROUND(G193*0.02*1.21,0),"")</f>
        <v/>
      </c>
      <c r="Y193" s="13" t="str">
        <f aca="false">IF(G193&lt;&gt;"",IF(G193&lt;=140000,0,ROUND(G193*0.0175,0)),"")</f>
        <v/>
      </c>
      <c r="Z193" s="13" t="str">
        <f aca="false">IF(G193&lt;&gt;"",ROUND(G193*0.004,0),"")</f>
        <v/>
      </c>
      <c r="AA193" s="14"/>
      <c r="AB193" s="13" t="str">
        <f aca="false">IF(G193&lt;&gt;"",IF(AA193="Sí",ROUND(G193*0.04*1.21,0),0),"")</f>
        <v/>
      </c>
      <c r="AC193" s="13" t="str">
        <f aca="false">IF(G193&lt;&gt;"",ROUND(G193*0.01,0),"")</f>
        <v/>
      </c>
      <c r="AD193" s="13" t="str">
        <f aca="false">IF(G193&lt;&gt;"",300,"")</f>
        <v/>
      </c>
      <c r="AE193" s="15"/>
      <c r="AF193" s="15"/>
      <c r="AG193" s="16"/>
      <c r="AH193" s="16"/>
      <c r="AI193" s="17" t="str">
        <f aca="false">IF(AND(AG193&lt;&gt;"",AH193&lt;&gt;""),(AG193+AH193)/2,"")</f>
        <v/>
      </c>
      <c r="AJ193" s="15"/>
      <c r="AK193" s="15"/>
    </row>
    <row r="194" customFormat="false" ht="15" hidden="false" customHeight="false" outlineLevel="0" collapsed="false">
      <c r="A194" s="2" t="str">
        <f aca="false">IF(E194&lt;&gt;"",ROW()-1,"")</f>
        <v/>
      </c>
      <c r="B194" s="3"/>
      <c r="C194" s="3"/>
      <c r="D194" s="3"/>
      <c r="E194" s="4"/>
      <c r="F194" s="4"/>
      <c r="G194" s="5"/>
      <c r="H194" s="4"/>
      <c r="I194" s="4"/>
      <c r="J194" s="4"/>
      <c r="K194" s="4"/>
      <c r="L194" s="6" t="str">
        <f aca="false">IF(AND(G194&lt;&gt;"",H194&gt;0),ROUND(G194/H194,0),"")</f>
        <v/>
      </c>
      <c r="M194" s="6" t="str">
        <f aca="false">IF(F194&lt;&gt;"",IFERROR(VLOOKUP(F194,TablaRef,2,FALSE()),"?"),"")</f>
        <v/>
      </c>
      <c r="N194" s="7" t="str">
        <f aca="false">IF(AND(L194&lt;&gt;"",M194&lt;&gt;"",ISNUMBER(M194)),IF(L194&lt;M194*(1-MargenPct),"🟢",IF(L194&gt;M194*(1+MargenPct),"🔴","🟡")),"")</f>
        <v/>
      </c>
      <c r="O194" s="8" t="str">
        <f aca="false">IF(G194&lt;&gt;"",W194+X194+Y194+Z194+AB194+AC194+AD194,"")</f>
        <v/>
      </c>
      <c r="P194" s="9" t="str">
        <f aca="false">IF(G194&lt;&gt;"",IF(O194&lt;=Presupuesto,"✓","✗"),"")</f>
        <v/>
      </c>
      <c r="Q194" s="10" t="str">
        <f aca="false">IF(G194&lt;&gt;"",Presupuesto-O194,"")</f>
        <v/>
      </c>
      <c r="R194" s="11"/>
      <c r="S194" s="11"/>
      <c r="T194" s="12"/>
      <c r="U194" s="12"/>
      <c r="V194" s="11"/>
      <c r="W194" s="13" t="str">
        <f aca="false">IF(G194&lt;&gt;"",MAX(G194-Credito,G194*0.1),"")</f>
        <v/>
      </c>
      <c r="X194" s="13" t="str">
        <f aca="false">IF(G194&lt;&gt;"",ROUND(G194*0.02*1.21,0),"")</f>
        <v/>
      </c>
      <c r="Y194" s="13" t="str">
        <f aca="false">IF(G194&lt;&gt;"",IF(G194&lt;=140000,0,ROUND(G194*0.0175,0)),"")</f>
        <v/>
      </c>
      <c r="Z194" s="13" t="str">
        <f aca="false">IF(G194&lt;&gt;"",ROUND(G194*0.004,0),"")</f>
        <v/>
      </c>
      <c r="AA194" s="14"/>
      <c r="AB194" s="13" t="str">
        <f aca="false">IF(G194&lt;&gt;"",IF(AA194="Sí",ROUND(G194*0.04*1.21,0),0),"")</f>
        <v/>
      </c>
      <c r="AC194" s="13" t="str">
        <f aca="false">IF(G194&lt;&gt;"",ROUND(G194*0.01,0),"")</f>
        <v/>
      </c>
      <c r="AD194" s="13" t="str">
        <f aca="false">IF(G194&lt;&gt;"",300,"")</f>
        <v/>
      </c>
      <c r="AE194" s="15"/>
      <c r="AF194" s="15"/>
      <c r="AG194" s="16"/>
      <c r="AH194" s="16"/>
      <c r="AI194" s="17" t="str">
        <f aca="false">IF(AND(AG194&lt;&gt;"",AH194&lt;&gt;""),(AG194+AH194)/2,"")</f>
        <v/>
      </c>
      <c r="AJ194" s="15"/>
      <c r="AK194" s="15"/>
    </row>
    <row r="195" customFormat="false" ht="15" hidden="false" customHeight="false" outlineLevel="0" collapsed="false">
      <c r="A195" s="2" t="str">
        <f aca="false">IF(E195&lt;&gt;"",ROW()-1,"")</f>
        <v/>
      </c>
      <c r="B195" s="3"/>
      <c r="C195" s="3"/>
      <c r="D195" s="3"/>
      <c r="E195" s="4"/>
      <c r="F195" s="4"/>
      <c r="G195" s="5"/>
      <c r="H195" s="4"/>
      <c r="I195" s="4"/>
      <c r="J195" s="4"/>
      <c r="K195" s="4"/>
      <c r="L195" s="6" t="str">
        <f aca="false">IF(AND(G195&lt;&gt;"",H195&gt;0),ROUND(G195/H195,0),"")</f>
        <v/>
      </c>
      <c r="M195" s="6" t="str">
        <f aca="false">IF(F195&lt;&gt;"",IFERROR(VLOOKUP(F195,TablaRef,2,FALSE()),"?"),"")</f>
        <v/>
      </c>
      <c r="N195" s="7" t="str">
        <f aca="false">IF(AND(L195&lt;&gt;"",M195&lt;&gt;"",ISNUMBER(M195)),IF(L195&lt;M195*(1-MargenPct),"🟢",IF(L195&gt;M195*(1+MargenPct),"🔴","🟡")),"")</f>
        <v/>
      </c>
      <c r="O195" s="8" t="str">
        <f aca="false">IF(G195&lt;&gt;"",W195+X195+Y195+Z195+AB195+AC195+AD195,"")</f>
        <v/>
      </c>
      <c r="P195" s="9" t="str">
        <f aca="false">IF(G195&lt;&gt;"",IF(O195&lt;=Presupuesto,"✓","✗"),"")</f>
        <v/>
      </c>
      <c r="Q195" s="10" t="str">
        <f aca="false">IF(G195&lt;&gt;"",Presupuesto-O195,"")</f>
        <v/>
      </c>
      <c r="R195" s="11"/>
      <c r="S195" s="11"/>
      <c r="T195" s="12"/>
      <c r="U195" s="12"/>
      <c r="V195" s="11"/>
      <c r="W195" s="13" t="str">
        <f aca="false">IF(G195&lt;&gt;"",MAX(G195-Credito,G195*0.1),"")</f>
        <v/>
      </c>
      <c r="X195" s="13" t="str">
        <f aca="false">IF(G195&lt;&gt;"",ROUND(G195*0.02*1.21,0),"")</f>
        <v/>
      </c>
      <c r="Y195" s="13" t="str">
        <f aca="false">IF(G195&lt;&gt;"",IF(G195&lt;=140000,0,ROUND(G195*0.0175,0)),"")</f>
        <v/>
      </c>
      <c r="Z195" s="13" t="str">
        <f aca="false">IF(G195&lt;&gt;"",ROUND(G195*0.004,0),"")</f>
        <v/>
      </c>
      <c r="AA195" s="14"/>
      <c r="AB195" s="13" t="str">
        <f aca="false">IF(G195&lt;&gt;"",IF(AA195="Sí",ROUND(G195*0.04*1.21,0),0),"")</f>
        <v/>
      </c>
      <c r="AC195" s="13" t="str">
        <f aca="false">IF(G195&lt;&gt;"",ROUND(G195*0.01,0),"")</f>
        <v/>
      </c>
      <c r="AD195" s="13" t="str">
        <f aca="false">IF(G195&lt;&gt;"",300,"")</f>
        <v/>
      </c>
      <c r="AE195" s="15"/>
      <c r="AF195" s="15"/>
      <c r="AG195" s="16"/>
      <c r="AH195" s="16"/>
      <c r="AI195" s="17" t="str">
        <f aca="false">IF(AND(AG195&lt;&gt;"",AH195&lt;&gt;""),(AG195+AH195)/2,"")</f>
        <v/>
      </c>
      <c r="AJ195" s="15"/>
      <c r="AK195" s="15"/>
    </row>
    <row r="196" customFormat="false" ht="15" hidden="false" customHeight="false" outlineLevel="0" collapsed="false">
      <c r="A196" s="2" t="str">
        <f aca="false">IF(E196&lt;&gt;"",ROW()-1,"")</f>
        <v/>
      </c>
      <c r="B196" s="3"/>
      <c r="C196" s="3"/>
      <c r="D196" s="3"/>
      <c r="E196" s="4"/>
      <c r="F196" s="4"/>
      <c r="G196" s="5"/>
      <c r="H196" s="4"/>
      <c r="I196" s="4"/>
      <c r="J196" s="4"/>
      <c r="K196" s="4"/>
      <c r="L196" s="6" t="str">
        <f aca="false">IF(AND(G196&lt;&gt;"",H196&gt;0),ROUND(G196/H196,0),"")</f>
        <v/>
      </c>
      <c r="M196" s="6" t="str">
        <f aca="false">IF(F196&lt;&gt;"",IFERROR(VLOOKUP(F196,TablaRef,2,FALSE()),"?"),"")</f>
        <v/>
      </c>
      <c r="N196" s="7" t="str">
        <f aca="false">IF(AND(L196&lt;&gt;"",M196&lt;&gt;"",ISNUMBER(M196)),IF(L196&lt;M196*(1-MargenPct),"🟢",IF(L196&gt;M196*(1+MargenPct),"🔴","🟡")),"")</f>
        <v/>
      </c>
      <c r="O196" s="8" t="str">
        <f aca="false">IF(G196&lt;&gt;"",W196+X196+Y196+Z196+AB196+AC196+AD196,"")</f>
        <v/>
      </c>
      <c r="P196" s="9" t="str">
        <f aca="false">IF(G196&lt;&gt;"",IF(O196&lt;=Presupuesto,"✓","✗"),"")</f>
        <v/>
      </c>
      <c r="Q196" s="10" t="str">
        <f aca="false">IF(G196&lt;&gt;"",Presupuesto-O196,"")</f>
        <v/>
      </c>
      <c r="R196" s="11"/>
      <c r="S196" s="11"/>
      <c r="T196" s="12"/>
      <c r="U196" s="12"/>
      <c r="V196" s="11"/>
      <c r="W196" s="13" t="str">
        <f aca="false">IF(G196&lt;&gt;"",MAX(G196-Credito,G196*0.1),"")</f>
        <v/>
      </c>
      <c r="X196" s="13" t="str">
        <f aca="false">IF(G196&lt;&gt;"",ROUND(G196*0.02*1.21,0),"")</f>
        <v/>
      </c>
      <c r="Y196" s="13" t="str">
        <f aca="false">IF(G196&lt;&gt;"",IF(G196&lt;=140000,0,ROUND(G196*0.0175,0)),"")</f>
        <v/>
      </c>
      <c r="Z196" s="13" t="str">
        <f aca="false">IF(G196&lt;&gt;"",ROUND(G196*0.004,0),"")</f>
        <v/>
      </c>
      <c r="AA196" s="14"/>
      <c r="AB196" s="13" t="str">
        <f aca="false">IF(G196&lt;&gt;"",IF(AA196="Sí",ROUND(G196*0.04*1.21,0),0),"")</f>
        <v/>
      </c>
      <c r="AC196" s="13" t="str">
        <f aca="false">IF(G196&lt;&gt;"",ROUND(G196*0.01,0),"")</f>
        <v/>
      </c>
      <c r="AD196" s="13" t="str">
        <f aca="false">IF(G196&lt;&gt;"",300,"")</f>
        <v/>
      </c>
      <c r="AE196" s="15"/>
      <c r="AF196" s="15"/>
      <c r="AG196" s="16"/>
      <c r="AH196" s="16"/>
      <c r="AI196" s="17" t="str">
        <f aca="false">IF(AND(AG196&lt;&gt;"",AH196&lt;&gt;""),(AG196+AH196)/2,"")</f>
        <v/>
      </c>
      <c r="AJ196" s="15"/>
      <c r="AK196" s="15"/>
    </row>
    <row r="197" customFormat="false" ht="15" hidden="false" customHeight="false" outlineLevel="0" collapsed="false">
      <c r="A197" s="2" t="str">
        <f aca="false">IF(E197&lt;&gt;"",ROW()-1,"")</f>
        <v/>
      </c>
      <c r="B197" s="3"/>
      <c r="C197" s="3"/>
      <c r="D197" s="3"/>
      <c r="E197" s="4"/>
      <c r="F197" s="4"/>
      <c r="G197" s="5"/>
      <c r="H197" s="4"/>
      <c r="I197" s="4"/>
      <c r="J197" s="4"/>
      <c r="K197" s="4"/>
      <c r="L197" s="6" t="str">
        <f aca="false">IF(AND(G197&lt;&gt;"",H197&gt;0),ROUND(G197/H197,0),"")</f>
        <v/>
      </c>
      <c r="M197" s="6" t="str">
        <f aca="false">IF(F197&lt;&gt;"",IFERROR(VLOOKUP(F197,TablaRef,2,FALSE()),"?"),"")</f>
        <v/>
      </c>
      <c r="N197" s="7" t="str">
        <f aca="false">IF(AND(L197&lt;&gt;"",M197&lt;&gt;"",ISNUMBER(M197)),IF(L197&lt;M197*(1-MargenPct),"🟢",IF(L197&gt;M197*(1+MargenPct),"🔴","🟡")),"")</f>
        <v/>
      </c>
      <c r="O197" s="8" t="str">
        <f aca="false">IF(G197&lt;&gt;"",W197+X197+Y197+Z197+AB197+AC197+AD197,"")</f>
        <v/>
      </c>
      <c r="P197" s="9" t="str">
        <f aca="false">IF(G197&lt;&gt;"",IF(O197&lt;=Presupuesto,"✓","✗"),"")</f>
        <v/>
      </c>
      <c r="Q197" s="10" t="str">
        <f aca="false">IF(G197&lt;&gt;"",Presupuesto-O197,"")</f>
        <v/>
      </c>
      <c r="R197" s="11"/>
      <c r="S197" s="11"/>
      <c r="T197" s="12"/>
      <c r="U197" s="12"/>
      <c r="V197" s="11"/>
      <c r="W197" s="13" t="str">
        <f aca="false">IF(G197&lt;&gt;"",MAX(G197-Credito,G197*0.1),"")</f>
        <v/>
      </c>
      <c r="X197" s="13" t="str">
        <f aca="false">IF(G197&lt;&gt;"",ROUND(G197*0.02*1.21,0),"")</f>
        <v/>
      </c>
      <c r="Y197" s="13" t="str">
        <f aca="false">IF(G197&lt;&gt;"",IF(G197&lt;=140000,0,ROUND(G197*0.0175,0)),"")</f>
        <v/>
      </c>
      <c r="Z197" s="13" t="str">
        <f aca="false">IF(G197&lt;&gt;"",ROUND(G197*0.004,0),"")</f>
        <v/>
      </c>
      <c r="AA197" s="14"/>
      <c r="AB197" s="13" t="str">
        <f aca="false">IF(G197&lt;&gt;"",IF(AA197="Sí",ROUND(G197*0.04*1.21,0),0),"")</f>
        <v/>
      </c>
      <c r="AC197" s="13" t="str">
        <f aca="false">IF(G197&lt;&gt;"",ROUND(G197*0.01,0),"")</f>
        <v/>
      </c>
      <c r="AD197" s="13" t="str">
        <f aca="false">IF(G197&lt;&gt;"",300,"")</f>
        <v/>
      </c>
      <c r="AE197" s="15"/>
      <c r="AF197" s="15"/>
      <c r="AG197" s="16"/>
      <c r="AH197" s="16"/>
      <c r="AI197" s="17" t="str">
        <f aca="false">IF(AND(AG197&lt;&gt;"",AH197&lt;&gt;""),(AG197+AH197)/2,"")</f>
        <v/>
      </c>
      <c r="AJ197" s="15"/>
      <c r="AK197" s="15"/>
    </row>
    <row r="198" customFormat="false" ht="15" hidden="false" customHeight="false" outlineLevel="0" collapsed="false">
      <c r="A198" s="2" t="str">
        <f aca="false">IF(E198&lt;&gt;"",ROW()-1,"")</f>
        <v/>
      </c>
      <c r="B198" s="3"/>
      <c r="C198" s="3"/>
      <c r="D198" s="3"/>
      <c r="E198" s="4"/>
      <c r="F198" s="4"/>
      <c r="G198" s="5"/>
      <c r="H198" s="4"/>
      <c r="I198" s="4"/>
      <c r="J198" s="4"/>
      <c r="K198" s="4"/>
      <c r="L198" s="6" t="str">
        <f aca="false">IF(AND(G198&lt;&gt;"",H198&gt;0),ROUND(G198/H198,0),"")</f>
        <v/>
      </c>
      <c r="M198" s="6" t="str">
        <f aca="false">IF(F198&lt;&gt;"",IFERROR(VLOOKUP(F198,TablaRef,2,FALSE()),"?"),"")</f>
        <v/>
      </c>
      <c r="N198" s="7" t="str">
        <f aca="false">IF(AND(L198&lt;&gt;"",M198&lt;&gt;"",ISNUMBER(M198)),IF(L198&lt;M198*(1-MargenPct),"🟢",IF(L198&gt;M198*(1+MargenPct),"🔴","🟡")),"")</f>
        <v/>
      </c>
      <c r="O198" s="8" t="str">
        <f aca="false">IF(G198&lt;&gt;"",W198+X198+Y198+Z198+AB198+AC198+AD198,"")</f>
        <v/>
      </c>
      <c r="P198" s="9" t="str">
        <f aca="false">IF(G198&lt;&gt;"",IF(O198&lt;=Presupuesto,"✓","✗"),"")</f>
        <v/>
      </c>
      <c r="Q198" s="10" t="str">
        <f aca="false">IF(G198&lt;&gt;"",Presupuesto-O198,"")</f>
        <v/>
      </c>
      <c r="R198" s="11"/>
      <c r="S198" s="11"/>
      <c r="T198" s="12"/>
      <c r="U198" s="12"/>
      <c r="V198" s="11"/>
      <c r="W198" s="13" t="str">
        <f aca="false">IF(G198&lt;&gt;"",MAX(G198-Credito,G198*0.1),"")</f>
        <v/>
      </c>
      <c r="X198" s="13" t="str">
        <f aca="false">IF(G198&lt;&gt;"",ROUND(G198*0.02*1.21,0),"")</f>
        <v/>
      </c>
      <c r="Y198" s="13" t="str">
        <f aca="false">IF(G198&lt;&gt;"",IF(G198&lt;=140000,0,ROUND(G198*0.0175,0)),"")</f>
        <v/>
      </c>
      <c r="Z198" s="13" t="str">
        <f aca="false">IF(G198&lt;&gt;"",ROUND(G198*0.004,0),"")</f>
        <v/>
      </c>
      <c r="AA198" s="14"/>
      <c r="AB198" s="13" t="str">
        <f aca="false">IF(G198&lt;&gt;"",IF(AA198="Sí",ROUND(G198*0.04*1.21,0),0),"")</f>
        <v/>
      </c>
      <c r="AC198" s="13" t="str">
        <f aca="false">IF(G198&lt;&gt;"",ROUND(G198*0.01,0),"")</f>
        <v/>
      </c>
      <c r="AD198" s="13" t="str">
        <f aca="false">IF(G198&lt;&gt;"",300,"")</f>
        <v/>
      </c>
      <c r="AE198" s="15"/>
      <c r="AF198" s="15"/>
      <c r="AG198" s="16"/>
      <c r="AH198" s="16"/>
      <c r="AI198" s="17" t="str">
        <f aca="false">IF(AND(AG198&lt;&gt;"",AH198&lt;&gt;""),(AG198+AH198)/2,"")</f>
        <v/>
      </c>
      <c r="AJ198" s="15"/>
      <c r="AK198" s="15"/>
    </row>
    <row r="199" customFormat="false" ht="15" hidden="false" customHeight="false" outlineLevel="0" collapsed="false">
      <c r="A199" s="2" t="str">
        <f aca="false">IF(E199&lt;&gt;"",ROW()-1,"")</f>
        <v/>
      </c>
      <c r="B199" s="3"/>
      <c r="C199" s="3"/>
      <c r="D199" s="3"/>
      <c r="E199" s="4"/>
      <c r="F199" s="4"/>
      <c r="G199" s="5"/>
      <c r="H199" s="4"/>
      <c r="I199" s="4"/>
      <c r="J199" s="4"/>
      <c r="K199" s="4"/>
      <c r="L199" s="6" t="str">
        <f aca="false">IF(AND(G199&lt;&gt;"",H199&gt;0),ROUND(G199/H199,0),"")</f>
        <v/>
      </c>
      <c r="M199" s="6" t="str">
        <f aca="false">IF(F199&lt;&gt;"",IFERROR(VLOOKUP(F199,TablaRef,2,FALSE()),"?"),"")</f>
        <v/>
      </c>
      <c r="N199" s="7" t="str">
        <f aca="false">IF(AND(L199&lt;&gt;"",M199&lt;&gt;"",ISNUMBER(M199)),IF(L199&lt;M199*(1-MargenPct),"🟢",IF(L199&gt;M199*(1+MargenPct),"🔴","🟡")),"")</f>
        <v/>
      </c>
      <c r="O199" s="8" t="str">
        <f aca="false">IF(G199&lt;&gt;"",W199+X199+Y199+Z199+AB199+AC199+AD199,"")</f>
        <v/>
      </c>
      <c r="P199" s="9" t="str">
        <f aca="false">IF(G199&lt;&gt;"",IF(O199&lt;=Presupuesto,"✓","✗"),"")</f>
        <v/>
      </c>
      <c r="Q199" s="10" t="str">
        <f aca="false">IF(G199&lt;&gt;"",Presupuesto-O199,"")</f>
        <v/>
      </c>
      <c r="R199" s="11"/>
      <c r="S199" s="11"/>
      <c r="T199" s="12"/>
      <c r="U199" s="12"/>
      <c r="V199" s="11"/>
      <c r="W199" s="13" t="str">
        <f aca="false">IF(G199&lt;&gt;"",MAX(G199-Credito,G199*0.1),"")</f>
        <v/>
      </c>
      <c r="X199" s="13" t="str">
        <f aca="false">IF(G199&lt;&gt;"",ROUND(G199*0.02*1.21,0),"")</f>
        <v/>
      </c>
      <c r="Y199" s="13" t="str">
        <f aca="false">IF(G199&lt;&gt;"",IF(G199&lt;=140000,0,ROUND(G199*0.0175,0)),"")</f>
        <v/>
      </c>
      <c r="Z199" s="13" t="str">
        <f aca="false">IF(G199&lt;&gt;"",ROUND(G199*0.004,0),"")</f>
        <v/>
      </c>
      <c r="AA199" s="14"/>
      <c r="AB199" s="13" t="str">
        <f aca="false">IF(G199&lt;&gt;"",IF(AA199="Sí",ROUND(G199*0.04*1.21,0),0),"")</f>
        <v/>
      </c>
      <c r="AC199" s="13" t="str">
        <f aca="false">IF(G199&lt;&gt;"",ROUND(G199*0.01,0),"")</f>
        <v/>
      </c>
      <c r="AD199" s="13" t="str">
        <f aca="false">IF(G199&lt;&gt;"",300,"")</f>
        <v/>
      </c>
      <c r="AE199" s="15"/>
      <c r="AF199" s="15"/>
      <c r="AG199" s="16"/>
      <c r="AH199" s="16"/>
      <c r="AI199" s="17" t="str">
        <f aca="false">IF(AND(AG199&lt;&gt;"",AH199&lt;&gt;""),(AG199+AH199)/2,"")</f>
        <v/>
      </c>
      <c r="AJ199" s="15"/>
      <c r="AK199" s="15"/>
    </row>
    <row r="200" customFormat="false" ht="15" hidden="false" customHeight="false" outlineLevel="0" collapsed="false">
      <c r="A200" s="2" t="str">
        <f aca="false">IF(E200&lt;&gt;"",ROW()-1,"")</f>
        <v/>
      </c>
      <c r="B200" s="3"/>
      <c r="C200" s="3"/>
      <c r="D200" s="3"/>
      <c r="E200" s="4"/>
      <c r="F200" s="4"/>
      <c r="G200" s="5"/>
      <c r="H200" s="4"/>
      <c r="I200" s="4"/>
      <c r="J200" s="4"/>
      <c r="K200" s="4"/>
      <c r="L200" s="6" t="str">
        <f aca="false">IF(AND(G200&lt;&gt;"",H200&gt;0),ROUND(G200/H200,0),"")</f>
        <v/>
      </c>
      <c r="M200" s="6" t="str">
        <f aca="false">IF(F200&lt;&gt;"",IFERROR(VLOOKUP(F200,TablaRef,2,FALSE()),"?"),"")</f>
        <v/>
      </c>
      <c r="N200" s="7" t="str">
        <f aca="false">IF(AND(L200&lt;&gt;"",M200&lt;&gt;"",ISNUMBER(M200)),IF(L200&lt;M200*(1-MargenPct),"🟢",IF(L200&gt;M200*(1+MargenPct),"🔴","🟡")),"")</f>
        <v/>
      </c>
      <c r="O200" s="8" t="str">
        <f aca="false">IF(G200&lt;&gt;"",W200+X200+Y200+Z200+AB200+AC200+AD200,"")</f>
        <v/>
      </c>
      <c r="P200" s="9" t="str">
        <f aca="false">IF(G200&lt;&gt;"",IF(O200&lt;=Presupuesto,"✓","✗"),"")</f>
        <v/>
      </c>
      <c r="Q200" s="10" t="str">
        <f aca="false">IF(G200&lt;&gt;"",Presupuesto-O200,"")</f>
        <v/>
      </c>
      <c r="R200" s="11"/>
      <c r="S200" s="11"/>
      <c r="T200" s="12"/>
      <c r="U200" s="12"/>
      <c r="V200" s="11"/>
      <c r="W200" s="13" t="str">
        <f aca="false">IF(G200&lt;&gt;"",MAX(G200-Credito,G200*0.1),"")</f>
        <v/>
      </c>
      <c r="X200" s="13" t="str">
        <f aca="false">IF(G200&lt;&gt;"",ROUND(G200*0.02*1.21,0),"")</f>
        <v/>
      </c>
      <c r="Y200" s="13" t="str">
        <f aca="false">IF(G200&lt;&gt;"",IF(G200&lt;=140000,0,ROUND(G200*0.0175,0)),"")</f>
        <v/>
      </c>
      <c r="Z200" s="13" t="str">
        <f aca="false">IF(G200&lt;&gt;"",ROUND(G200*0.004,0),"")</f>
        <v/>
      </c>
      <c r="AA200" s="14"/>
      <c r="AB200" s="13" t="str">
        <f aca="false">IF(G200&lt;&gt;"",IF(AA200="Sí",ROUND(G200*0.04*1.21,0),0),"")</f>
        <v/>
      </c>
      <c r="AC200" s="13" t="str">
        <f aca="false">IF(G200&lt;&gt;"",ROUND(G200*0.01,0),"")</f>
        <v/>
      </c>
      <c r="AD200" s="13" t="str">
        <f aca="false">IF(G200&lt;&gt;"",300,"")</f>
        <v/>
      </c>
      <c r="AE200" s="15"/>
      <c r="AF200" s="15"/>
      <c r="AG200" s="16"/>
      <c r="AH200" s="16"/>
      <c r="AI200" s="17" t="str">
        <f aca="false">IF(AND(AG200&lt;&gt;"",AH200&lt;&gt;""),(AG200+AH200)/2,"")</f>
        <v/>
      </c>
      <c r="AJ200" s="15"/>
      <c r="AK200" s="15"/>
    </row>
    <row r="201" customFormat="false" ht="15" hidden="false" customHeight="false" outlineLevel="0" collapsed="false">
      <c r="A201" s="2" t="str">
        <f aca="false">IF(E201&lt;&gt;"",ROW()-1,"")</f>
        <v/>
      </c>
      <c r="B201" s="3"/>
      <c r="C201" s="3"/>
      <c r="D201" s="3"/>
      <c r="E201" s="4"/>
      <c r="F201" s="4"/>
      <c r="G201" s="5"/>
      <c r="H201" s="4"/>
      <c r="I201" s="4"/>
      <c r="J201" s="4"/>
      <c r="K201" s="4"/>
      <c r="L201" s="6" t="str">
        <f aca="false">IF(AND(G201&lt;&gt;"",H201&gt;0),ROUND(G201/H201,0),"")</f>
        <v/>
      </c>
      <c r="M201" s="6" t="str">
        <f aca="false">IF(F201&lt;&gt;"",IFERROR(VLOOKUP(F201,TablaRef,2,FALSE()),"?"),"")</f>
        <v/>
      </c>
      <c r="N201" s="7" t="str">
        <f aca="false">IF(AND(L201&lt;&gt;"",M201&lt;&gt;"",ISNUMBER(M201)),IF(L201&lt;M201*(1-MargenPct),"🟢",IF(L201&gt;M201*(1+MargenPct),"🔴","🟡")),"")</f>
        <v/>
      </c>
      <c r="O201" s="8" t="str">
        <f aca="false">IF(G201&lt;&gt;"",W201+X201+Y201+Z201+AB201+AC201+AD201,"")</f>
        <v/>
      </c>
      <c r="P201" s="9" t="str">
        <f aca="false">IF(G201&lt;&gt;"",IF(O201&lt;=Presupuesto,"✓","✗"),"")</f>
        <v/>
      </c>
      <c r="Q201" s="10" t="str">
        <f aca="false">IF(G201&lt;&gt;"",Presupuesto-O201,"")</f>
        <v/>
      </c>
      <c r="R201" s="11"/>
      <c r="S201" s="11"/>
      <c r="T201" s="12"/>
      <c r="U201" s="12"/>
      <c r="V201" s="11"/>
      <c r="W201" s="13" t="str">
        <f aca="false">IF(G201&lt;&gt;"",MAX(G201-Credito,G201*0.1),"")</f>
        <v/>
      </c>
      <c r="X201" s="13" t="str">
        <f aca="false">IF(G201&lt;&gt;"",ROUND(G201*0.02*1.21,0),"")</f>
        <v/>
      </c>
      <c r="Y201" s="13" t="str">
        <f aca="false">IF(G201&lt;&gt;"",IF(G201&lt;=140000,0,ROUND(G201*0.0175,0)),"")</f>
        <v/>
      </c>
      <c r="Z201" s="13" t="str">
        <f aca="false">IF(G201&lt;&gt;"",ROUND(G201*0.004,0),"")</f>
        <v/>
      </c>
      <c r="AA201" s="14"/>
      <c r="AB201" s="13" t="str">
        <f aca="false">IF(G201&lt;&gt;"",IF(AA201="Sí",ROUND(G201*0.04*1.21,0),0),"")</f>
        <v/>
      </c>
      <c r="AC201" s="13" t="str">
        <f aca="false">IF(G201&lt;&gt;"",ROUND(G201*0.01,0),"")</f>
        <v/>
      </c>
      <c r="AD201" s="13" t="str">
        <f aca="false">IF(G201&lt;&gt;"",300,"")</f>
        <v/>
      </c>
      <c r="AE201" s="15"/>
      <c r="AF201" s="15"/>
      <c r="AG201" s="16"/>
      <c r="AH201" s="16"/>
      <c r="AI201" s="17" t="str">
        <f aca="false">IF(AND(AG201&lt;&gt;"",AH201&lt;&gt;""),(AG201+AH201)/2,"")</f>
        <v/>
      </c>
      <c r="AJ201" s="15"/>
      <c r="AK201" s="15"/>
    </row>
    <row r="202" customFormat="false" ht="15" hidden="false" customHeight="false" outlineLevel="0" collapsed="false">
      <c r="A202" s="2" t="str">
        <f aca="false">IF(E202&lt;&gt;"",ROW()-1,"")</f>
        <v/>
      </c>
      <c r="B202" s="3"/>
      <c r="C202" s="3"/>
      <c r="D202" s="3"/>
      <c r="E202" s="4"/>
      <c r="F202" s="4"/>
      <c r="G202" s="5"/>
      <c r="H202" s="4"/>
      <c r="I202" s="4"/>
      <c r="J202" s="4"/>
      <c r="K202" s="4"/>
      <c r="L202" s="6" t="str">
        <f aca="false">IF(AND(G202&lt;&gt;"",H202&gt;0),ROUND(G202/H202,0),"")</f>
        <v/>
      </c>
      <c r="M202" s="6" t="str">
        <f aca="false">IF(F202&lt;&gt;"",IFERROR(VLOOKUP(F202,TablaRef,2,FALSE()),"?"),"")</f>
        <v/>
      </c>
      <c r="N202" s="7" t="str">
        <f aca="false">IF(AND(L202&lt;&gt;"",M202&lt;&gt;"",ISNUMBER(M202)),IF(L202&lt;M202*(1-MargenPct),"🟢",IF(L202&gt;M202*(1+MargenPct),"🔴","🟡")),"")</f>
        <v/>
      </c>
      <c r="O202" s="8" t="str">
        <f aca="false">IF(G202&lt;&gt;"",W202+X202+Y202+Z202+AB202+AC202+AD202,"")</f>
        <v/>
      </c>
      <c r="P202" s="9" t="str">
        <f aca="false">IF(G202&lt;&gt;"",IF(O202&lt;=Presupuesto,"✓","✗"),"")</f>
        <v/>
      </c>
      <c r="Q202" s="10" t="str">
        <f aca="false">IF(G202&lt;&gt;"",Presupuesto-O202,"")</f>
        <v/>
      </c>
      <c r="R202" s="11"/>
      <c r="S202" s="11"/>
      <c r="T202" s="12"/>
      <c r="U202" s="12"/>
      <c r="V202" s="11"/>
      <c r="W202" s="13" t="str">
        <f aca="false">IF(G202&lt;&gt;"",MAX(G202-Credito,G202*0.1),"")</f>
        <v/>
      </c>
      <c r="X202" s="13" t="str">
        <f aca="false">IF(G202&lt;&gt;"",ROUND(G202*0.02*1.21,0),"")</f>
        <v/>
      </c>
      <c r="Y202" s="13" t="str">
        <f aca="false">IF(G202&lt;&gt;"",IF(G202&lt;=140000,0,ROUND(G202*0.0175,0)),"")</f>
        <v/>
      </c>
      <c r="Z202" s="13" t="str">
        <f aca="false">IF(G202&lt;&gt;"",ROUND(G202*0.004,0),"")</f>
        <v/>
      </c>
      <c r="AA202" s="14"/>
      <c r="AB202" s="13" t="str">
        <f aca="false">IF(G202&lt;&gt;"",IF(AA202="Sí",ROUND(G202*0.04*1.21,0),0),"")</f>
        <v/>
      </c>
      <c r="AC202" s="13" t="str">
        <f aca="false">IF(G202&lt;&gt;"",ROUND(G202*0.01,0),"")</f>
        <v/>
      </c>
      <c r="AD202" s="13" t="str">
        <f aca="false">IF(G202&lt;&gt;"",300,"")</f>
        <v/>
      </c>
      <c r="AE202" s="15"/>
      <c r="AF202" s="15"/>
      <c r="AG202" s="16"/>
      <c r="AH202" s="16"/>
      <c r="AI202" s="17" t="str">
        <f aca="false">IF(AND(AG202&lt;&gt;"",AH202&lt;&gt;""),(AG202+AH202)/2,"")</f>
        <v/>
      </c>
      <c r="AJ202" s="15"/>
      <c r="AK202" s="15"/>
    </row>
    <row r="203" customFormat="false" ht="15" hidden="false" customHeight="false" outlineLevel="0" collapsed="false">
      <c r="A203" s="2" t="str">
        <f aca="false">IF(E203&lt;&gt;"",ROW()-1,"")</f>
        <v/>
      </c>
      <c r="B203" s="3"/>
      <c r="C203" s="3"/>
      <c r="D203" s="3"/>
      <c r="E203" s="4"/>
      <c r="F203" s="4"/>
      <c r="G203" s="5"/>
      <c r="H203" s="4"/>
      <c r="I203" s="4"/>
      <c r="J203" s="4"/>
      <c r="K203" s="4"/>
      <c r="L203" s="6" t="str">
        <f aca="false">IF(AND(G203&lt;&gt;"",H203&gt;0),ROUND(G203/H203,0),"")</f>
        <v/>
      </c>
      <c r="M203" s="6" t="str">
        <f aca="false">IF(F203&lt;&gt;"",IFERROR(VLOOKUP(F203,TablaRef,2,FALSE()),"?"),"")</f>
        <v/>
      </c>
      <c r="N203" s="7" t="str">
        <f aca="false">IF(AND(L203&lt;&gt;"",M203&lt;&gt;"",ISNUMBER(M203)),IF(L203&lt;M203*(1-MargenPct),"🟢",IF(L203&gt;M203*(1+MargenPct),"🔴","🟡")),"")</f>
        <v/>
      </c>
      <c r="O203" s="8" t="str">
        <f aca="false">IF(G203&lt;&gt;"",W203+X203+Y203+Z203+AB203+AC203+AD203,"")</f>
        <v/>
      </c>
      <c r="P203" s="9" t="str">
        <f aca="false">IF(G203&lt;&gt;"",IF(O203&lt;=Presupuesto,"✓","✗"),"")</f>
        <v/>
      </c>
      <c r="Q203" s="10" t="str">
        <f aca="false">IF(G203&lt;&gt;"",Presupuesto-O203,"")</f>
        <v/>
      </c>
      <c r="R203" s="11"/>
      <c r="S203" s="11"/>
      <c r="T203" s="12"/>
      <c r="U203" s="12"/>
      <c r="V203" s="11"/>
      <c r="W203" s="13" t="str">
        <f aca="false">IF(G203&lt;&gt;"",MAX(G203-Credito,G203*0.1),"")</f>
        <v/>
      </c>
      <c r="X203" s="13" t="str">
        <f aca="false">IF(G203&lt;&gt;"",ROUND(G203*0.02*1.21,0),"")</f>
        <v/>
      </c>
      <c r="Y203" s="13" t="str">
        <f aca="false">IF(G203&lt;&gt;"",IF(G203&lt;=140000,0,ROUND(G203*0.0175,0)),"")</f>
        <v/>
      </c>
      <c r="Z203" s="13" t="str">
        <f aca="false">IF(G203&lt;&gt;"",ROUND(G203*0.004,0),"")</f>
        <v/>
      </c>
      <c r="AA203" s="14"/>
      <c r="AB203" s="13" t="str">
        <f aca="false">IF(G203&lt;&gt;"",IF(AA203="Sí",ROUND(G203*0.04*1.21,0),0),"")</f>
        <v/>
      </c>
      <c r="AC203" s="13" t="str">
        <f aca="false">IF(G203&lt;&gt;"",ROUND(G203*0.01,0),"")</f>
        <v/>
      </c>
      <c r="AD203" s="13" t="str">
        <f aca="false">IF(G203&lt;&gt;"",300,"")</f>
        <v/>
      </c>
      <c r="AE203" s="15"/>
      <c r="AF203" s="15"/>
      <c r="AG203" s="16"/>
      <c r="AH203" s="16"/>
      <c r="AI203" s="17" t="str">
        <f aca="false">IF(AND(AG203&lt;&gt;"",AH203&lt;&gt;""),(AG203+AH203)/2,"")</f>
        <v/>
      </c>
      <c r="AJ203" s="15"/>
      <c r="AK203" s="15"/>
    </row>
    <row r="204" customFormat="false" ht="15" hidden="false" customHeight="false" outlineLevel="0" collapsed="false">
      <c r="A204" s="2" t="str">
        <f aca="false">IF(E204&lt;&gt;"",ROW()-1,"")</f>
        <v/>
      </c>
      <c r="B204" s="3"/>
      <c r="C204" s="3"/>
      <c r="D204" s="3"/>
      <c r="E204" s="4"/>
      <c r="F204" s="4"/>
      <c r="G204" s="5"/>
      <c r="H204" s="4"/>
      <c r="I204" s="4"/>
      <c r="J204" s="4"/>
      <c r="K204" s="4"/>
      <c r="L204" s="6" t="str">
        <f aca="false">IF(AND(G204&lt;&gt;"",H204&gt;0),ROUND(G204/H204,0),"")</f>
        <v/>
      </c>
      <c r="M204" s="6" t="str">
        <f aca="false">IF(F204&lt;&gt;"",IFERROR(VLOOKUP(F204,TablaRef,2,FALSE()),"?"),"")</f>
        <v/>
      </c>
      <c r="N204" s="7" t="str">
        <f aca="false">IF(AND(L204&lt;&gt;"",M204&lt;&gt;"",ISNUMBER(M204)),IF(L204&lt;M204*(1-MargenPct),"🟢",IF(L204&gt;M204*(1+MargenPct),"🔴","🟡")),"")</f>
        <v/>
      </c>
      <c r="O204" s="8" t="str">
        <f aca="false">IF(G204&lt;&gt;"",W204+X204+Y204+Z204+AB204+AC204+AD204,"")</f>
        <v/>
      </c>
      <c r="P204" s="9" t="str">
        <f aca="false">IF(G204&lt;&gt;"",IF(O204&lt;=Presupuesto,"✓","✗"),"")</f>
        <v/>
      </c>
      <c r="Q204" s="10" t="str">
        <f aca="false">IF(G204&lt;&gt;"",Presupuesto-O204,"")</f>
        <v/>
      </c>
      <c r="R204" s="11"/>
      <c r="S204" s="11"/>
      <c r="T204" s="12"/>
      <c r="U204" s="12"/>
      <c r="V204" s="11"/>
      <c r="W204" s="13" t="str">
        <f aca="false">IF(G204&lt;&gt;"",MAX(G204-Credito,G204*0.1),"")</f>
        <v/>
      </c>
      <c r="X204" s="13" t="str">
        <f aca="false">IF(G204&lt;&gt;"",ROUND(G204*0.02*1.21,0),"")</f>
        <v/>
      </c>
      <c r="Y204" s="13" t="str">
        <f aca="false">IF(G204&lt;&gt;"",IF(G204&lt;=140000,0,ROUND(G204*0.0175,0)),"")</f>
        <v/>
      </c>
      <c r="Z204" s="13" t="str">
        <f aca="false">IF(G204&lt;&gt;"",ROUND(G204*0.004,0),"")</f>
        <v/>
      </c>
      <c r="AA204" s="14"/>
      <c r="AB204" s="13" t="str">
        <f aca="false">IF(G204&lt;&gt;"",IF(AA204="Sí",ROUND(G204*0.04*1.21,0),0),"")</f>
        <v/>
      </c>
      <c r="AC204" s="13" t="str">
        <f aca="false">IF(G204&lt;&gt;"",ROUND(G204*0.01,0),"")</f>
        <v/>
      </c>
      <c r="AD204" s="13" t="str">
        <f aca="false">IF(G204&lt;&gt;"",300,"")</f>
        <v/>
      </c>
      <c r="AE204" s="15"/>
      <c r="AF204" s="15"/>
      <c r="AG204" s="16"/>
      <c r="AH204" s="16"/>
      <c r="AI204" s="17" t="str">
        <f aca="false">IF(AND(AG204&lt;&gt;"",AH204&lt;&gt;""),(AG204+AH204)/2,"")</f>
        <v/>
      </c>
      <c r="AJ204" s="15"/>
      <c r="AK204" s="15"/>
    </row>
    <row r="205" customFormat="false" ht="15" hidden="false" customHeight="false" outlineLevel="0" collapsed="false">
      <c r="A205" s="2" t="str">
        <f aca="false">IF(E205&lt;&gt;"",ROW()-1,"")</f>
        <v/>
      </c>
      <c r="B205" s="3"/>
      <c r="C205" s="3"/>
      <c r="D205" s="3"/>
      <c r="E205" s="4"/>
      <c r="F205" s="4"/>
      <c r="G205" s="5"/>
      <c r="H205" s="4"/>
      <c r="I205" s="4"/>
      <c r="J205" s="4"/>
      <c r="K205" s="4"/>
      <c r="L205" s="6" t="str">
        <f aca="false">IF(AND(G205&lt;&gt;"",H205&gt;0),ROUND(G205/H205,0),"")</f>
        <v/>
      </c>
      <c r="M205" s="6" t="str">
        <f aca="false">IF(F205&lt;&gt;"",IFERROR(VLOOKUP(F205,TablaRef,2,FALSE()),"?"),"")</f>
        <v/>
      </c>
      <c r="N205" s="7" t="str">
        <f aca="false">IF(AND(L205&lt;&gt;"",M205&lt;&gt;"",ISNUMBER(M205)),IF(L205&lt;M205*(1-MargenPct),"🟢",IF(L205&gt;M205*(1+MargenPct),"🔴","🟡")),"")</f>
        <v/>
      </c>
      <c r="O205" s="8" t="str">
        <f aca="false">IF(G205&lt;&gt;"",W205+X205+Y205+Z205+AB205+AC205+AD205,"")</f>
        <v/>
      </c>
      <c r="P205" s="9" t="str">
        <f aca="false">IF(G205&lt;&gt;"",IF(O205&lt;=Presupuesto,"✓","✗"),"")</f>
        <v/>
      </c>
      <c r="Q205" s="10" t="str">
        <f aca="false">IF(G205&lt;&gt;"",Presupuesto-O205,"")</f>
        <v/>
      </c>
      <c r="R205" s="11"/>
      <c r="S205" s="11"/>
      <c r="T205" s="12"/>
      <c r="U205" s="12"/>
      <c r="V205" s="11"/>
      <c r="W205" s="13" t="str">
        <f aca="false">IF(G205&lt;&gt;"",MAX(G205-Credito,G205*0.1),"")</f>
        <v/>
      </c>
      <c r="X205" s="13" t="str">
        <f aca="false">IF(G205&lt;&gt;"",ROUND(G205*0.02*1.21,0),"")</f>
        <v/>
      </c>
      <c r="Y205" s="13" t="str">
        <f aca="false">IF(G205&lt;&gt;"",IF(G205&lt;=140000,0,ROUND(G205*0.0175,0)),"")</f>
        <v/>
      </c>
      <c r="Z205" s="13" t="str">
        <f aca="false">IF(G205&lt;&gt;"",ROUND(G205*0.004,0),"")</f>
        <v/>
      </c>
      <c r="AA205" s="14"/>
      <c r="AB205" s="13" t="str">
        <f aca="false">IF(G205&lt;&gt;"",IF(AA205="Sí",ROUND(G205*0.04*1.21,0),0),"")</f>
        <v/>
      </c>
      <c r="AC205" s="13" t="str">
        <f aca="false">IF(G205&lt;&gt;"",ROUND(G205*0.01,0),"")</f>
        <v/>
      </c>
      <c r="AD205" s="13" t="str">
        <f aca="false">IF(G205&lt;&gt;"",300,"")</f>
        <v/>
      </c>
      <c r="AE205" s="15"/>
      <c r="AF205" s="15"/>
      <c r="AG205" s="16"/>
      <c r="AH205" s="16"/>
      <c r="AI205" s="17" t="str">
        <f aca="false">IF(AND(AG205&lt;&gt;"",AH205&lt;&gt;""),(AG205+AH205)/2,"")</f>
        <v/>
      </c>
      <c r="AJ205" s="15"/>
      <c r="AK205" s="15"/>
    </row>
    <row r="206" customFormat="false" ht="15" hidden="false" customHeight="false" outlineLevel="0" collapsed="false">
      <c r="A206" s="2" t="str">
        <f aca="false">IF(E206&lt;&gt;"",ROW()-1,"")</f>
        <v/>
      </c>
      <c r="B206" s="3"/>
      <c r="C206" s="3"/>
      <c r="D206" s="3"/>
      <c r="E206" s="4"/>
      <c r="F206" s="4"/>
      <c r="G206" s="5"/>
      <c r="H206" s="4"/>
      <c r="I206" s="4"/>
      <c r="J206" s="4"/>
      <c r="K206" s="4"/>
      <c r="L206" s="6" t="str">
        <f aca="false">IF(AND(G206&lt;&gt;"",H206&gt;0),ROUND(G206/H206,0),"")</f>
        <v/>
      </c>
      <c r="M206" s="6" t="str">
        <f aca="false">IF(F206&lt;&gt;"",IFERROR(VLOOKUP(F206,TablaRef,2,FALSE()),"?"),"")</f>
        <v/>
      </c>
      <c r="N206" s="7" t="str">
        <f aca="false">IF(AND(L206&lt;&gt;"",M206&lt;&gt;"",ISNUMBER(M206)),IF(L206&lt;M206*(1-MargenPct),"🟢",IF(L206&gt;M206*(1+MargenPct),"🔴","🟡")),"")</f>
        <v/>
      </c>
      <c r="O206" s="8" t="str">
        <f aca="false">IF(G206&lt;&gt;"",W206+X206+Y206+Z206+AB206+AC206+AD206,"")</f>
        <v/>
      </c>
      <c r="P206" s="9" t="str">
        <f aca="false">IF(G206&lt;&gt;"",IF(O206&lt;=Presupuesto,"✓","✗"),"")</f>
        <v/>
      </c>
      <c r="Q206" s="10" t="str">
        <f aca="false">IF(G206&lt;&gt;"",Presupuesto-O206,"")</f>
        <v/>
      </c>
      <c r="R206" s="11"/>
      <c r="S206" s="11"/>
      <c r="T206" s="12"/>
      <c r="U206" s="12"/>
      <c r="V206" s="11"/>
      <c r="W206" s="13" t="str">
        <f aca="false">IF(G206&lt;&gt;"",MAX(G206-Credito,G206*0.1),"")</f>
        <v/>
      </c>
      <c r="X206" s="13" t="str">
        <f aca="false">IF(G206&lt;&gt;"",ROUND(G206*0.02*1.21,0),"")</f>
        <v/>
      </c>
      <c r="Y206" s="13" t="str">
        <f aca="false">IF(G206&lt;&gt;"",IF(G206&lt;=140000,0,ROUND(G206*0.0175,0)),"")</f>
        <v/>
      </c>
      <c r="Z206" s="13" t="str">
        <f aca="false">IF(G206&lt;&gt;"",ROUND(G206*0.004,0),"")</f>
        <v/>
      </c>
      <c r="AA206" s="14"/>
      <c r="AB206" s="13" t="str">
        <f aca="false">IF(G206&lt;&gt;"",IF(AA206="Sí",ROUND(G206*0.04*1.21,0),0),"")</f>
        <v/>
      </c>
      <c r="AC206" s="13" t="str">
        <f aca="false">IF(G206&lt;&gt;"",ROUND(G206*0.01,0),"")</f>
        <v/>
      </c>
      <c r="AD206" s="13" t="str">
        <f aca="false">IF(G206&lt;&gt;"",300,"")</f>
        <v/>
      </c>
      <c r="AE206" s="15"/>
      <c r="AF206" s="15"/>
      <c r="AG206" s="16"/>
      <c r="AH206" s="16"/>
      <c r="AI206" s="17" t="str">
        <f aca="false">IF(AND(AG206&lt;&gt;"",AH206&lt;&gt;""),(AG206+AH206)/2,"")</f>
        <v/>
      </c>
      <c r="AJ206" s="15"/>
      <c r="AK206" s="15"/>
    </row>
    <row r="207" customFormat="false" ht="15" hidden="false" customHeight="false" outlineLevel="0" collapsed="false">
      <c r="A207" s="2" t="str">
        <f aca="false">IF(E207&lt;&gt;"",ROW()-1,"")</f>
        <v/>
      </c>
      <c r="B207" s="3"/>
      <c r="C207" s="3"/>
      <c r="D207" s="3"/>
      <c r="E207" s="4"/>
      <c r="F207" s="4"/>
      <c r="G207" s="5"/>
      <c r="H207" s="4"/>
      <c r="I207" s="4"/>
      <c r="J207" s="4"/>
      <c r="K207" s="4"/>
      <c r="L207" s="6" t="str">
        <f aca="false">IF(AND(G207&lt;&gt;"",H207&gt;0),ROUND(G207/H207,0),"")</f>
        <v/>
      </c>
      <c r="M207" s="6" t="str">
        <f aca="false">IF(F207&lt;&gt;"",IFERROR(VLOOKUP(F207,TablaRef,2,FALSE()),"?"),"")</f>
        <v/>
      </c>
      <c r="N207" s="7" t="str">
        <f aca="false">IF(AND(L207&lt;&gt;"",M207&lt;&gt;"",ISNUMBER(M207)),IF(L207&lt;M207*(1-MargenPct),"🟢",IF(L207&gt;M207*(1+MargenPct),"🔴","🟡")),"")</f>
        <v/>
      </c>
      <c r="O207" s="8" t="str">
        <f aca="false">IF(G207&lt;&gt;"",W207+X207+Y207+Z207+AB207+AC207+AD207,"")</f>
        <v/>
      </c>
      <c r="P207" s="9" t="str">
        <f aca="false">IF(G207&lt;&gt;"",IF(O207&lt;=Presupuesto,"✓","✗"),"")</f>
        <v/>
      </c>
      <c r="Q207" s="10" t="str">
        <f aca="false">IF(G207&lt;&gt;"",Presupuesto-O207,"")</f>
        <v/>
      </c>
      <c r="R207" s="11"/>
      <c r="S207" s="11"/>
      <c r="T207" s="12"/>
      <c r="U207" s="12"/>
      <c r="V207" s="11"/>
      <c r="W207" s="13" t="str">
        <f aca="false">IF(G207&lt;&gt;"",MAX(G207-Credito,G207*0.1),"")</f>
        <v/>
      </c>
      <c r="X207" s="13" t="str">
        <f aca="false">IF(G207&lt;&gt;"",ROUND(G207*0.02*1.21,0),"")</f>
        <v/>
      </c>
      <c r="Y207" s="13" t="str">
        <f aca="false">IF(G207&lt;&gt;"",IF(G207&lt;=140000,0,ROUND(G207*0.0175,0)),"")</f>
        <v/>
      </c>
      <c r="Z207" s="13" t="str">
        <f aca="false">IF(G207&lt;&gt;"",ROUND(G207*0.004,0),"")</f>
        <v/>
      </c>
      <c r="AA207" s="14"/>
      <c r="AB207" s="13" t="str">
        <f aca="false">IF(G207&lt;&gt;"",IF(AA207="Sí",ROUND(G207*0.04*1.21,0),0),"")</f>
        <v/>
      </c>
      <c r="AC207" s="13" t="str">
        <f aca="false">IF(G207&lt;&gt;"",ROUND(G207*0.01,0),"")</f>
        <v/>
      </c>
      <c r="AD207" s="13" t="str">
        <f aca="false">IF(G207&lt;&gt;"",300,"")</f>
        <v/>
      </c>
      <c r="AE207" s="15"/>
      <c r="AF207" s="15"/>
      <c r="AG207" s="16"/>
      <c r="AH207" s="16"/>
      <c r="AI207" s="17" t="str">
        <f aca="false">IF(AND(AG207&lt;&gt;"",AH207&lt;&gt;""),(AG207+AH207)/2,"")</f>
        <v/>
      </c>
      <c r="AJ207" s="15"/>
      <c r="AK207" s="15"/>
    </row>
    <row r="208" customFormat="false" ht="15" hidden="false" customHeight="false" outlineLevel="0" collapsed="false">
      <c r="A208" s="2" t="str">
        <f aca="false">IF(E208&lt;&gt;"",ROW()-1,"")</f>
        <v/>
      </c>
      <c r="B208" s="3"/>
      <c r="C208" s="3"/>
      <c r="D208" s="3"/>
      <c r="E208" s="4"/>
      <c r="F208" s="4"/>
      <c r="G208" s="5"/>
      <c r="H208" s="4"/>
      <c r="I208" s="4"/>
      <c r="J208" s="4"/>
      <c r="K208" s="4"/>
      <c r="L208" s="6" t="str">
        <f aca="false">IF(AND(G208&lt;&gt;"",H208&gt;0),ROUND(G208/H208,0),"")</f>
        <v/>
      </c>
      <c r="M208" s="6" t="str">
        <f aca="false">IF(F208&lt;&gt;"",IFERROR(VLOOKUP(F208,TablaRef,2,FALSE()),"?"),"")</f>
        <v/>
      </c>
      <c r="N208" s="7" t="str">
        <f aca="false">IF(AND(L208&lt;&gt;"",M208&lt;&gt;"",ISNUMBER(M208)),IF(L208&lt;M208*(1-MargenPct),"🟢",IF(L208&gt;M208*(1+MargenPct),"🔴","🟡")),"")</f>
        <v/>
      </c>
      <c r="O208" s="8" t="str">
        <f aca="false">IF(G208&lt;&gt;"",W208+X208+Y208+Z208+AB208+AC208+AD208,"")</f>
        <v/>
      </c>
      <c r="P208" s="9" t="str">
        <f aca="false">IF(G208&lt;&gt;"",IF(O208&lt;=Presupuesto,"✓","✗"),"")</f>
        <v/>
      </c>
      <c r="Q208" s="10" t="str">
        <f aca="false">IF(G208&lt;&gt;"",Presupuesto-O208,"")</f>
        <v/>
      </c>
      <c r="R208" s="11"/>
      <c r="S208" s="11"/>
      <c r="T208" s="12"/>
      <c r="U208" s="12"/>
      <c r="V208" s="11"/>
      <c r="W208" s="13" t="str">
        <f aca="false">IF(G208&lt;&gt;"",MAX(G208-Credito,G208*0.1),"")</f>
        <v/>
      </c>
      <c r="X208" s="13" t="str">
        <f aca="false">IF(G208&lt;&gt;"",ROUND(G208*0.02*1.21,0),"")</f>
        <v/>
      </c>
      <c r="Y208" s="13" t="str">
        <f aca="false">IF(G208&lt;&gt;"",IF(G208&lt;=140000,0,ROUND(G208*0.0175,0)),"")</f>
        <v/>
      </c>
      <c r="Z208" s="13" t="str">
        <f aca="false">IF(G208&lt;&gt;"",ROUND(G208*0.004,0),"")</f>
        <v/>
      </c>
      <c r="AA208" s="14"/>
      <c r="AB208" s="13" t="str">
        <f aca="false">IF(G208&lt;&gt;"",IF(AA208="Sí",ROUND(G208*0.04*1.21,0),0),"")</f>
        <v/>
      </c>
      <c r="AC208" s="13" t="str">
        <f aca="false">IF(G208&lt;&gt;"",ROUND(G208*0.01,0),"")</f>
        <v/>
      </c>
      <c r="AD208" s="13" t="str">
        <f aca="false">IF(G208&lt;&gt;"",300,"")</f>
        <v/>
      </c>
      <c r="AE208" s="15"/>
      <c r="AF208" s="15"/>
      <c r="AG208" s="16"/>
      <c r="AH208" s="16"/>
      <c r="AI208" s="17" t="str">
        <f aca="false">IF(AND(AG208&lt;&gt;"",AH208&lt;&gt;""),(AG208+AH208)/2,"")</f>
        <v/>
      </c>
      <c r="AJ208" s="15"/>
      <c r="AK208" s="15"/>
    </row>
    <row r="209" customFormat="false" ht="15" hidden="false" customHeight="false" outlineLevel="0" collapsed="false">
      <c r="A209" s="2" t="str">
        <f aca="false">IF(E209&lt;&gt;"",ROW()-1,"")</f>
        <v/>
      </c>
      <c r="B209" s="3"/>
      <c r="C209" s="3"/>
      <c r="D209" s="3"/>
      <c r="E209" s="4"/>
      <c r="F209" s="4"/>
      <c r="G209" s="5"/>
      <c r="H209" s="4"/>
      <c r="I209" s="4"/>
      <c r="J209" s="4"/>
      <c r="K209" s="4"/>
      <c r="L209" s="6" t="str">
        <f aca="false">IF(AND(G209&lt;&gt;"",H209&gt;0),ROUND(G209/H209,0),"")</f>
        <v/>
      </c>
      <c r="M209" s="6" t="str">
        <f aca="false">IF(F209&lt;&gt;"",IFERROR(VLOOKUP(F209,TablaRef,2,FALSE()),"?"),"")</f>
        <v/>
      </c>
      <c r="N209" s="7" t="str">
        <f aca="false">IF(AND(L209&lt;&gt;"",M209&lt;&gt;"",ISNUMBER(M209)),IF(L209&lt;M209*(1-MargenPct),"🟢",IF(L209&gt;M209*(1+MargenPct),"🔴","🟡")),"")</f>
        <v/>
      </c>
      <c r="O209" s="8" t="str">
        <f aca="false">IF(G209&lt;&gt;"",W209+X209+Y209+Z209+AB209+AC209+AD209,"")</f>
        <v/>
      </c>
      <c r="P209" s="9" t="str">
        <f aca="false">IF(G209&lt;&gt;"",IF(O209&lt;=Presupuesto,"✓","✗"),"")</f>
        <v/>
      </c>
      <c r="Q209" s="10" t="str">
        <f aca="false">IF(G209&lt;&gt;"",Presupuesto-O209,"")</f>
        <v/>
      </c>
      <c r="R209" s="11"/>
      <c r="S209" s="11"/>
      <c r="T209" s="12"/>
      <c r="U209" s="12"/>
      <c r="V209" s="11"/>
      <c r="W209" s="13" t="str">
        <f aca="false">IF(G209&lt;&gt;"",MAX(G209-Credito,G209*0.1),"")</f>
        <v/>
      </c>
      <c r="X209" s="13" t="str">
        <f aca="false">IF(G209&lt;&gt;"",ROUND(G209*0.02*1.21,0),"")</f>
        <v/>
      </c>
      <c r="Y209" s="13" t="str">
        <f aca="false">IF(G209&lt;&gt;"",IF(G209&lt;=140000,0,ROUND(G209*0.0175,0)),"")</f>
        <v/>
      </c>
      <c r="Z209" s="13" t="str">
        <f aca="false">IF(G209&lt;&gt;"",ROUND(G209*0.004,0),"")</f>
        <v/>
      </c>
      <c r="AA209" s="14"/>
      <c r="AB209" s="13" t="str">
        <f aca="false">IF(G209&lt;&gt;"",IF(AA209="Sí",ROUND(G209*0.04*1.21,0),0),"")</f>
        <v/>
      </c>
      <c r="AC209" s="13" t="str">
        <f aca="false">IF(G209&lt;&gt;"",ROUND(G209*0.01,0),"")</f>
        <v/>
      </c>
      <c r="AD209" s="13" t="str">
        <f aca="false">IF(G209&lt;&gt;"",300,"")</f>
        <v/>
      </c>
      <c r="AE209" s="15"/>
      <c r="AF209" s="15"/>
      <c r="AG209" s="16"/>
      <c r="AH209" s="16"/>
      <c r="AI209" s="17" t="str">
        <f aca="false">IF(AND(AG209&lt;&gt;"",AH209&lt;&gt;""),(AG209+AH209)/2,"")</f>
        <v/>
      </c>
      <c r="AJ209" s="15"/>
      <c r="AK209" s="15"/>
    </row>
    <row r="210" customFormat="false" ht="15" hidden="false" customHeight="false" outlineLevel="0" collapsed="false">
      <c r="A210" s="2" t="str">
        <f aca="false">IF(E210&lt;&gt;"",ROW()-1,"")</f>
        <v/>
      </c>
      <c r="B210" s="3"/>
      <c r="C210" s="3"/>
      <c r="D210" s="3"/>
      <c r="E210" s="4"/>
      <c r="F210" s="4"/>
      <c r="G210" s="5"/>
      <c r="H210" s="4"/>
      <c r="I210" s="4"/>
      <c r="J210" s="4"/>
      <c r="K210" s="4"/>
      <c r="L210" s="6" t="str">
        <f aca="false">IF(AND(G210&lt;&gt;"",H210&gt;0),ROUND(G210/H210,0),"")</f>
        <v/>
      </c>
      <c r="M210" s="6" t="str">
        <f aca="false">IF(F210&lt;&gt;"",IFERROR(VLOOKUP(F210,TablaRef,2,FALSE()),"?"),"")</f>
        <v/>
      </c>
      <c r="N210" s="7" t="str">
        <f aca="false">IF(AND(L210&lt;&gt;"",M210&lt;&gt;"",ISNUMBER(M210)),IF(L210&lt;M210*(1-MargenPct),"🟢",IF(L210&gt;M210*(1+MargenPct),"🔴","🟡")),"")</f>
        <v/>
      </c>
      <c r="O210" s="8" t="str">
        <f aca="false">IF(G210&lt;&gt;"",W210+X210+Y210+Z210+AB210+AC210+AD210,"")</f>
        <v/>
      </c>
      <c r="P210" s="9" t="str">
        <f aca="false">IF(G210&lt;&gt;"",IF(O210&lt;=Presupuesto,"✓","✗"),"")</f>
        <v/>
      </c>
      <c r="Q210" s="10" t="str">
        <f aca="false">IF(G210&lt;&gt;"",Presupuesto-O210,"")</f>
        <v/>
      </c>
      <c r="R210" s="11"/>
      <c r="S210" s="11"/>
      <c r="T210" s="12"/>
      <c r="U210" s="12"/>
      <c r="V210" s="11"/>
      <c r="W210" s="13" t="str">
        <f aca="false">IF(G210&lt;&gt;"",MAX(G210-Credito,G210*0.1),"")</f>
        <v/>
      </c>
      <c r="X210" s="13" t="str">
        <f aca="false">IF(G210&lt;&gt;"",ROUND(G210*0.02*1.21,0),"")</f>
        <v/>
      </c>
      <c r="Y210" s="13" t="str">
        <f aca="false">IF(G210&lt;&gt;"",IF(G210&lt;=140000,0,ROUND(G210*0.0175,0)),"")</f>
        <v/>
      </c>
      <c r="Z210" s="13" t="str">
        <f aca="false">IF(G210&lt;&gt;"",ROUND(G210*0.004,0),"")</f>
        <v/>
      </c>
      <c r="AA210" s="14"/>
      <c r="AB210" s="13" t="str">
        <f aca="false">IF(G210&lt;&gt;"",IF(AA210="Sí",ROUND(G210*0.04*1.21,0),0),"")</f>
        <v/>
      </c>
      <c r="AC210" s="13" t="str">
        <f aca="false">IF(G210&lt;&gt;"",ROUND(G210*0.01,0),"")</f>
        <v/>
      </c>
      <c r="AD210" s="13" t="str">
        <f aca="false">IF(G210&lt;&gt;"",300,"")</f>
        <v/>
      </c>
      <c r="AE210" s="15"/>
      <c r="AF210" s="15"/>
      <c r="AG210" s="16"/>
      <c r="AH210" s="16"/>
      <c r="AI210" s="17" t="str">
        <f aca="false">IF(AND(AG210&lt;&gt;"",AH210&lt;&gt;""),(AG210+AH210)/2,"")</f>
        <v/>
      </c>
      <c r="AJ210" s="15"/>
      <c r="AK210" s="15"/>
    </row>
    <row r="211" customFormat="false" ht="15" hidden="false" customHeight="false" outlineLevel="0" collapsed="false">
      <c r="A211" s="2" t="str">
        <f aca="false">IF(E211&lt;&gt;"",ROW()-1,"")</f>
        <v/>
      </c>
      <c r="B211" s="3"/>
      <c r="C211" s="3"/>
      <c r="D211" s="3"/>
      <c r="E211" s="4"/>
      <c r="F211" s="4"/>
      <c r="G211" s="5"/>
      <c r="H211" s="4"/>
      <c r="I211" s="4"/>
      <c r="J211" s="4"/>
      <c r="K211" s="4"/>
      <c r="L211" s="6" t="str">
        <f aca="false">IF(AND(G211&lt;&gt;"",H211&gt;0),ROUND(G211/H211,0),"")</f>
        <v/>
      </c>
      <c r="M211" s="6" t="str">
        <f aca="false">IF(F211&lt;&gt;"",IFERROR(VLOOKUP(F211,TablaRef,2,FALSE()),"?"),"")</f>
        <v/>
      </c>
      <c r="N211" s="7" t="str">
        <f aca="false">IF(AND(L211&lt;&gt;"",M211&lt;&gt;"",ISNUMBER(M211)),IF(L211&lt;M211*(1-MargenPct),"🟢",IF(L211&gt;M211*(1+MargenPct),"🔴","🟡")),"")</f>
        <v/>
      </c>
      <c r="O211" s="8" t="str">
        <f aca="false">IF(G211&lt;&gt;"",W211+X211+Y211+Z211+AB211+AC211+AD211,"")</f>
        <v/>
      </c>
      <c r="P211" s="9" t="str">
        <f aca="false">IF(G211&lt;&gt;"",IF(O211&lt;=Presupuesto,"✓","✗"),"")</f>
        <v/>
      </c>
      <c r="Q211" s="10" t="str">
        <f aca="false">IF(G211&lt;&gt;"",Presupuesto-O211,"")</f>
        <v/>
      </c>
      <c r="R211" s="11"/>
      <c r="S211" s="11"/>
      <c r="T211" s="12"/>
      <c r="U211" s="12"/>
      <c r="V211" s="11"/>
      <c r="W211" s="13" t="str">
        <f aca="false">IF(G211&lt;&gt;"",MAX(G211-Credito,G211*0.1),"")</f>
        <v/>
      </c>
      <c r="X211" s="13" t="str">
        <f aca="false">IF(G211&lt;&gt;"",ROUND(G211*0.02*1.21,0),"")</f>
        <v/>
      </c>
      <c r="Y211" s="13" t="str">
        <f aca="false">IF(G211&lt;&gt;"",IF(G211&lt;=140000,0,ROUND(G211*0.0175,0)),"")</f>
        <v/>
      </c>
      <c r="Z211" s="13" t="str">
        <f aca="false">IF(G211&lt;&gt;"",ROUND(G211*0.004,0),"")</f>
        <v/>
      </c>
      <c r="AA211" s="14"/>
      <c r="AB211" s="13" t="str">
        <f aca="false">IF(G211&lt;&gt;"",IF(AA211="Sí",ROUND(G211*0.04*1.21,0),0),"")</f>
        <v/>
      </c>
      <c r="AC211" s="13" t="str">
        <f aca="false">IF(G211&lt;&gt;"",ROUND(G211*0.01,0),"")</f>
        <v/>
      </c>
      <c r="AD211" s="13" t="str">
        <f aca="false">IF(G211&lt;&gt;"",300,"")</f>
        <v/>
      </c>
      <c r="AE211" s="15"/>
      <c r="AF211" s="15"/>
      <c r="AG211" s="16"/>
      <c r="AH211" s="16"/>
      <c r="AI211" s="17" t="str">
        <f aca="false">IF(AND(AG211&lt;&gt;"",AH211&lt;&gt;""),(AG211+AH211)/2,"")</f>
        <v/>
      </c>
      <c r="AJ211" s="15"/>
      <c r="AK211" s="15"/>
    </row>
    <row r="212" customFormat="false" ht="15" hidden="false" customHeight="false" outlineLevel="0" collapsed="false">
      <c r="A212" s="2" t="str">
        <f aca="false">IF(E212&lt;&gt;"",ROW()-1,"")</f>
        <v/>
      </c>
      <c r="B212" s="3"/>
      <c r="C212" s="3"/>
      <c r="D212" s="3"/>
      <c r="E212" s="4"/>
      <c r="F212" s="4"/>
      <c r="G212" s="5"/>
      <c r="H212" s="4"/>
      <c r="I212" s="4"/>
      <c r="J212" s="4"/>
      <c r="K212" s="4"/>
      <c r="L212" s="6" t="str">
        <f aca="false">IF(AND(G212&lt;&gt;"",H212&gt;0),ROUND(G212/H212,0),"")</f>
        <v/>
      </c>
      <c r="M212" s="6" t="str">
        <f aca="false">IF(F212&lt;&gt;"",IFERROR(VLOOKUP(F212,TablaRef,2,FALSE()),"?"),"")</f>
        <v/>
      </c>
      <c r="N212" s="7" t="str">
        <f aca="false">IF(AND(L212&lt;&gt;"",M212&lt;&gt;"",ISNUMBER(M212)),IF(L212&lt;M212*(1-MargenPct),"🟢",IF(L212&gt;M212*(1+MargenPct),"🔴","🟡")),"")</f>
        <v/>
      </c>
      <c r="O212" s="8" t="str">
        <f aca="false">IF(G212&lt;&gt;"",W212+X212+Y212+Z212+AB212+AC212+AD212,"")</f>
        <v/>
      </c>
      <c r="P212" s="9" t="str">
        <f aca="false">IF(G212&lt;&gt;"",IF(O212&lt;=Presupuesto,"✓","✗"),"")</f>
        <v/>
      </c>
      <c r="Q212" s="10" t="str">
        <f aca="false">IF(G212&lt;&gt;"",Presupuesto-O212,"")</f>
        <v/>
      </c>
      <c r="R212" s="11"/>
      <c r="S212" s="11"/>
      <c r="T212" s="12"/>
      <c r="U212" s="12"/>
      <c r="V212" s="11"/>
      <c r="W212" s="13" t="str">
        <f aca="false">IF(G212&lt;&gt;"",MAX(G212-Credito,G212*0.1),"")</f>
        <v/>
      </c>
      <c r="X212" s="13" t="str">
        <f aca="false">IF(G212&lt;&gt;"",ROUND(G212*0.02*1.21,0),"")</f>
        <v/>
      </c>
      <c r="Y212" s="13" t="str">
        <f aca="false">IF(G212&lt;&gt;"",IF(G212&lt;=140000,0,ROUND(G212*0.0175,0)),"")</f>
        <v/>
      </c>
      <c r="Z212" s="13" t="str">
        <f aca="false">IF(G212&lt;&gt;"",ROUND(G212*0.004,0),"")</f>
        <v/>
      </c>
      <c r="AA212" s="14"/>
      <c r="AB212" s="13" t="str">
        <f aca="false">IF(G212&lt;&gt;"",IF(AA212="Sí",ROUND(G212*0.04*1.21,0),0),"")</f>
        <v/>
      </c>
      <c r="AC212" s="13" t="str">
        <f aca="false">IF(G212&lt;&gt;"",ROUND(G212*0.01,0),"")</f>
        <v/>
      </c>
      <c r="AD212" s="13" t="str">
        <f aca="false">IF(G212&lt;&gt;"",300,"")</f>
        <v/>
      </c>
      <c r="AE212" s="15"/>
      <c r="AF212" s="15"/>
      <c r="AG212" s="16"/>
      <c r="AH212" s="16"/>
      <c r="AI212" s="17" t="str">
        <f aca="false">IF(AND(AG212&lt;&gt;"",AH212&lt;&gt;""),(AG212+AH212)/2,"")</f>
        <v/>
      </c>
      <c r="AJ212" s="15"/>
      <c r="AK212" s="15"/>
    </row>
    <row r="213" customFormat="false" ht="15" hidden="false" customHeight="false" outlineLevel="0" collapsed="false">
      <c r="A213" s="2" t="str">
        <f aca="false">IF(E213&lt;&gt;"",ROW()-1,"")</f>
        <v/>
      </c>
      <c r="B213" s="3"/>
      <c r="C213" s="3"/>
      <c r="D213" s="3"/>
      <c r="E213" s="4"/>
      <c r="F213" s="4"/>
      <c r="G213" s="5"/>
      <c r="H213" s="4"/>
      <c r="I213" s="4"/>
      <c r="J213" s="4"/>
      <c r="K213" s="4"/>
      <c r="L213" s="6" t="str">
        <f aca="false">IF(AND(G213&lt;&gt;"",H213&gt;0),ROUND(G213/H213,0),"")</f>
        <v/>
      </c>
      <c r="M213" s="6" t="str">
        <f aca="false">IF(F213&lt;&gt;"",IFERROR(VLOOKUP(F213,TablaRef,2,FALSE()),"?"),"")</f>
        <v/>
      </c>
      <c r="N213" s="7" t="str">
        <f aca="false">IF(AND(L213&lt;&gt;"",M213&lt;&gt;"",ISNUMBER(M213)),IF(L213&lt;M213*(1-MargenPct),"🟢",IF(L213&gt;M213*(1+MargenPct),"🔴","🟡")),"")</f>
        <v/>
      </c>
      <c r="O213" s="8" t="str">
        <f aca="false">IF(G213&lt;&gt;"",W213+X213+Y213+Z213+AB213+AC213+AD213,"")</f>
        <v/>
      </c>
      <c r="P213" s="9" t="str">
        <f aca="false">IF(G213&lt;&gt;"",IF(O213&lt;=Presupuesto,"✓","✗"),"")</f>
        <v/>
      </c>
      <c r="Q213" s="10" t="str">
        <f aca="false">IF(G213&lt;&gt;"",Presupuesto-O213,"")</f>
        <v/>
      </c>
      <c r="R213" s="11"/>
      <c r="S213" s="11"/>
      <c r="T213" s="12"/>
      <c r="U213" s="12"/>
      <c r="V213" s="11"/>
      <c r="W213" s="13" t="str">
        <f aca="false">IF(G213&lt;&gt;"",MAX(G213-Credito,G213*0.1),"")</f>
        <v/>
      </c>
      <c r="X213" s="13" t="str">
        <f aca="false">IF(G213&lt;&gt;"",ROUND(G213*0.02*1.21,0),"")</f>
        <v/>
      </c>
      <c r="Y213" s="13" t="str">
        <f aca="false">IF(G213&lt;&gt;"",IF(G213&lt;=140000,0,ROUND(G213*0.0175,0)),"")</f>
        <v/>
      </c>
      <c r="Z213" s="13" t="str">
        <f aca="false">IF(G213&lt;&gt;"",ROUND(G213*0.004,0),"")</f>
        <v/>
      </c>
      <c r="AA213" s="14"/>
      <c r="AB213" s="13" t="str">
        <f aca="false">IF(G213&lt;&gt;"",IF(AA213="Sí",ROUND(G213*0.04*1.21,0),0),"")</f>
        <v/>
      </c>
      <c r="AC213" s="13" t="str">
        <f aca="false">IF(G213&lt;&gt;"",ROUND(G213*0.01,0),"")</f>
        <v/>
      </c>
      <c r="AD213" s="13" t="str">
        <f aca="false">IF(G213&lt;&gt;"",300,"")</f>
        <v/>
      </c>
      <c r="AE213" s="15"/>
      <c r="AF213" s="15"/>
      <c r="AG213" s="16"/>
      <c r="AH213" s="16"/>
      <c r="AI213" s="17" t="str">
        <f aca="false">IF(AND(AG213&lt;&gt;"",AH213&lt;&gt;""),(AG213+AH213)/2,"")</f>
        <v/>
      </c>
      <c r="AJ213" s="15"/>
      <c r="AK213" s="15"/>
    </row>
    <row r="214" customFormat="false" ht="15" hidden="false" customHeight="false" outlineLevel="0" collapsed="false">
      <c r="A214" s="2" t="str">
        <f aca="false">IF(E214&lt;&gt;"",ROW()-1,"")</f>
        <v/>
      </c>
      <c r="B214" s="3"/>
      <c r="C214" s="3"/>
      <c r="D214" s="3"/>
      <c r="E214" s="4"/>
      <c r="F214" s="4"/>
      <c r="G214" s="5"/>
      <c r="H214" s="4"/>
      <c r="I214" s="4"/>
      <c r="J214" s="4"/>
      <c r="K214" s="4"/>
      <c r="L214" s="6" t="str">
        <f aca="false">IF(AND(G214&lt;&gt;"",H214&gt;0),ROUND(G214/H214,0),"")</f>
        <v/>
      </c>
      <c r="M214" s="6" t="str">
        <f aca="false">IF(F214&lt;&gt;"",IFERROR(VLOOKUP(F214,TablaRef,2,FALSE()),"?"),"")</f>
        <v/>
      </c>
      <c r="N214" s="7" t="str">
        <f aca="false">IF(AND(L214&lt;&gt;"",M214&lt;&gt;"",ISNUMBER(M214)),IF(L214&lt;M214*(1-MargenPct),"🟢",IF(L214&gt;M214*(1+MargenPct),"🔴","🟡")),"")</f>
        <v/>
      </c>
      <c r="O214" s="8" t="str">
        <f aca="false">IF(G214&lt;&gt;"",W214+X214+Y214+Z214+AB214+AC214+AD214,"")</f>
        <v/>
      </c>
      <c r="P214" s="9" t="str">
        <f aca="false">IF(G214&lt;&gt;"",IF(O214&lt;=Presupuesto,"✓","✗"),"")</f>
        <v/>
      </c>
      <c r="Q214" s="10" t="str">
        <f aca="false">IF(G214&lt;&gt;"",Presupuesto-O214,"")</f>
        <v/>
      </c>
      <c r="R214" s="11"/>
      <c r="S214" s="11"/>
      <c r="T214" s="12"/>
      <c r="U214" s="12"/>
      <c r="V214" s="11"/>
      <c r="W214" s="13" t="str">
        <f aca="false">IF(G214&lt;&gt;"",MAX(G214-Credito,G214*0.1),"")</f>
        <v/>
      </c>
      <c r="X214" s="13" t="str">
        <f aca="false">IF(G214&lt;&gt;"",ROUND(G214*0.02*1.21,0),"")</f>
        <v/>
      </c>
      <c r="Y214" s="13" t="str">
        <f aca="false">IF(G214&lt;&gt;"",IF(G214&lt;=140000,0,ROUND(G214*0.0175,0)),"")</f>
        <v/>
      </c>
      <c r="Z214" s="13" t="str">
        <f aca="false">IF(G214&lt;&gt;"",ROUND(G214*0.004,0),"")</f>
        <v/>
      </c>
      <c r="AA214" s="14"/>
      <c r="AB214" s="13" t="str">
        <f aca="false">IF(G214&lt;&gt;"",IF(AA214="Sí",ROUND(G214*0.04*1.21,0),0),"")</f>
        <v/>
      </c>
      <c r="AC214" s="13" t="str">
        <f aca="false">IF(G214&lt;&gt;"",ROUND(G214*0.01,0),"")</f>
        <v/>
      </c>
      <c r="AD214" s="13" t="str">
        <f aca="false">IF(G214&lt;&gt;"",300,"")</f>
        <v/>
      </c>
      <c r="AE214" s="15"/>
      <c r="AF214" s="15"/>
      <c r="AG214" s="16"/>
      <c r="AH214" s="16"/>
      <c r="AI214" s="17" t="str">
        <f aca="false">IF(AND(AG214&lt;&gt;"",AH214&lt;&gt;""),(AG214+AH214)/2,"")</f>
        <v/>
      </c>
      <c r="AJ214" s="15"/>
      <c r="AK214" s="15"/>
    </row>
    <row r="215" customFormat="false" ht="15" hidden="false" customHeight="false" outlineLevel="0" collapsed="false">
      <c r="A215" s="2" t="str">
        <f aca="false">IF(E215&lt;&gt;"",ROW()-1,"")</f>
        <v/>
      </c>
      <c r="B215" s="3"/>
      <c r="C215" s="3"/>
      <c r="D215" s="3"/>
      <c r="E215" s="4"/>
      <c r="F215" s="4"/>
      <c r="G215" s="5"/>
      <c r="H215" s="4"/>
      <c r="I215" s="4"/>
      <c r="J215" s="4"/>
      <c r="K215" s="4"/>
      <c r="L215" s="6" t="str">
        <f aca="false">IF(AND(G215&lt;&gt;"",H215&gt;0),ROUND(G215/H215,0),"")</f>
        <v/>
      </c>
      <c r="M215" s="6" t="str">
        <f aca="false">IF(F215&lt;&gt;"",IFERROR(VLOOKUP(F215,TablaRef,2,FALSE()),"?"),"")</f>
        <v/>
      </c>
      <c r="N215" s="7" t="str">
        <f aca="false">IF(AND(L215&lt;&gt;"",M215&lt;&gt;"",ISNUMBER(M215)),IF(L215&lt;M215*(1-MargenPct),"🟢",IF(L215&gt;M215*(1+MargenPct),"🔴","🟡")),"")</f>
        <v/>
      </c>
      <c r="O215" s="8" t="str">
        <f aca="false">IF(G215&lt;&gt;"",W215+X215+Y215+Z215+AB215+AC215+AD215,"")</f>
        <v/>
      </c>
      <c r="P215" s="9" t="str">
        <f aca="false">IF(G215&lt;&gt;"",IF(O215&lt;=Presupuesto,"✓","✗"),"")</f>
        <v/>
      </c>
      <c r="Q215" s="10" t="str">
        <f aca="false">IF(G215&lt;&gt;"",Presupuesto-O215,"")</f>
        <v/>
      </c>
      <c r="R215" s="11"/>
      <c r="S215" s="11"/>
      <c r="T215" s="12"/>
      <c r="U215" s="12"/>
      <c r="V215" s="11"/>
      <c r="W215" s="13" t="str">
        <f aca="false">IF(G215&lt;&gt;"",MAX(G215-Credito,G215*0.1),"")</f>
        <v/>
      </c>
      <c r="X215" s="13" t="str">
        <f aca="false">IF(G215&lt;&gt;"",ROUND(G215*0.02*1.21,0),"")</f>
        <v/>
      </c>
      <c r="Y215" s="13" t="str">
        <f aca="false">IF(G215&lt;&gt;"",IF(G215&lt;=140000,0,ROUND(G215*0.0175,0)),"")</f>
        <v/>
      </c>
      <c r="Z215" s="13" t="str">
        <f aca="false">IF(G215&lt;&gt;"",ROUND(G215*0.004,0),"")</f>
        <v/>
      </c>
      <c r="AA215" s="14"/>
      <c r="AB215" s="13" t="str">
        <f aca="false">IF(G215&lt;&gt;"",IF(AA215="Sí",ROUND(G215*0.04*1.21,0),0),"")</f>
        <v/>
      </c>
      <c r="AC215" s="13" t="str">
        <f aca="false">IF(G215&lt;&gt;"",ROUND(G215*0.01,0),"")</f>
        <v/>
      </c>
      <c r="AD215" s="13" t="str">
        <f aca="false">IF(G215&lt;&gt;"",300,"")</f>
        <v/>
      </c>
      <c r="AE215" s="15"/>
      <c r="AF215" s="15"/>
      <c r="AG215" s="16"/>
      <c r="AH215" s="16"/>
      <c r="AI215" s="17" t="str">
        <f aca="false">IF(AND(AG215&lt;&gt;"",AH215&lt;&gt;""),(AG215+AH215)/2,"")</f>
        <v/>
      </c>
      <c r="AJ215" s="15"/>
      <c r="AK215" s="15"/>
    </row>
    <row r="216" customFormat="false" ht="15" hidden="false" customHeight="false" outlineLevel="0" collapsed="false">
      <c r="A216" s="2" t="str">
        <f aca="false">IF(E216&lt;&gt;"",ROW()-1,"")</f>
        <v/>
      </c>
      <c r="B216" s="3"/>
      <c r="C216" s="3"/>
      <c r="D216" s="3"/>
      <c r="E216" s="4"/>
      <c r="F216" s="4"/>
      <c r="G216" s="5"/>
      <c r="H216" s="4"/>
      <c r="I216" s="4"/>
      <c r="J216" s="4"/>
      <c r="K216" s="4"/>
      <c r="L216" s="6" t="str">
        <f aca="false">IF(AND(G216&lt;&gt;"",H216&gt;0),ROUND(G216/H216,0),"")</f>
        <v/>
      </c>
      <c r="M216" s="6" t="str">
        <f aca="false">IF(F216&lt;&gt;"",IFERROR(VLOOKUP(F216,TablaRef,2,FALSE()),"?"),"")</f>
        <v/>
      </c>
      <c r="N216" s="7" t="str">
        <f aca="false">IF(AND(L216&lt;&gt;"",M216&lt;&gt;"",ISNUMBER(M216)),IF(L216&lt;M216*(1-MargenPct),"🟢",IF(L216&gt;M216*(1+MargenPct),"🔴","🟡")),"")</f>
        <v/>
      </c>
      <c r="O216" s="8" t="str">
        <f aca="false">IF(G216&lt;&gt;"",W216+X216+Y216+Z216+AB216+AC216+AD216,"")</f>
        <v/>
      </c>
      <c r="P216" s="9" t="str">
        <f aca="false">IF(G216&lt;&gt;"",IF(O216&lt;=Presupuesto,"✓","✗"),"")</f>
        <v/>
      </c>
      <c r="Q216" s="10" t="str">
        <f aca="false">IF(G216&lt;&gt;"",Presupuesto-O216,"")</f>
        <v/>
      </c>
      <c r="R216" s="11"/>
      <c r="S216" s="11"/>
      <c r="T216" s="12"/>
      <c r="U216" s="12"/>
      <c r="V216" s="11"/>
      <c r="W216" s="13" t="str">
        <f aca="false">IF(G216&lt;&gt;"",MAX(G216-Credito,G216*0.1),"")</f>
        <v/>
      </c>
      <c r="X216" s="13" t="str">
        <f aca="false">IF(G216&lt;&gt;"",ROUND(G216*0.02*1.21,0),"")</f>
        <v/>
      </c>
      <c r="Y216" s="13" t="str">
        <f aca="false">IF(G216&lt;&gt;"",IF(G216&lt;=140000,0,ROUND(G216*0.0175,0)),"")</f>
        <v/>
      </c>
      <c r="Z216" s="13" t="str">
        <f aca="false">IF(G216&lt;&gt;"",ROUND(G216*0.004,0),"")</f>
        <v/>
      </c>
      <c r="AA216" s="14"/>
      <c r="AB216" s="13" t="str">
        <f aca="false">IF(G216&lt;&gt;"",IF(AA216="Sí",ROUND(G216*0.04*1.21,0),0),"")</f>
        <v/>
      </c>
      <c r="AC216" s="13" t="str">
        <f aca="false">IF(G216&lt;&gt;"",ROUND(G216*0.01,0),"")</f>
        <v/>
      </c>
      <c r="AD216" s="13" t="str">
        <f aca="false">IF(G216&lt;&gt;"",300,"")</f>
        <v/>
      </c>
      <c r="AE216" s="15"/>
      <c r="AF216" s="15"/>
      <c r="AG216" s="16"/>
      <c r="AH216" s="16"/>
      <c r="AI216" s="17" t="str">
        <f aca="false">IF(AND(AG216&lt;&gt;"",AH216&lt;&gt;""),(AG216+AH216)/2,"")</f>
        <v/>
      </c>
      <c r="AJ216" s="15"/>
      <c r="AK216" s="15"/>
    </row>
    <row r="217" customFormat="false" ht="15" hidden="false" customHeight="false" outlineLevel="0" collapsed="false">
      <c r="A217" s="2" t="str">
        <f aca="false">IF(E217&lt;&gt;"",ROW()-1,"")</f>
        <v/>
      </c>
      <c r="B217" s="3"/>
      <c r="C217" s="3"/>
      <c r="D217" s="3"/>
      <c r="E217" s="4"/>
      <c r="F217" s="4"/>
      <c r="G217" s="5"/>
      <c r="H217" s="4"/>
      <c r="I217" s="4"/>
      <c r="J217" s="4"/>
      <c r="K217" s="4"/>
      <c r="L217" s="6" t="str">
        <f aca="false">IF(AND(G217&lt;&gt;"",H217&gt;0),ROUND(G217/H217,0),"")</f>
        <v/>
      </c>
      <c r="M217" s="6" t="str">
        <f aca="false">IF(F217&lt;&gt;"",IFERROR(VLOOKUP(F217,TablaRef,2,FALSE()),"?"),"")</f>
        <v/>
      </c>
      <c r="N217" s="7" t="str">
        <f aca="false">IF(AND(L217&lt;&gt;"",M217&lt;&gt;"",ISNUMBER(M217)),IF(L217&lt;M217*(1-MargenPct),"🟢",IF(L217&gt;M217*(1+MargenPct),"🔴","🟡")),"")</f>
        <v/>
      </c>
      <c r="O217" s="8" t="str">
        <f aca="false">IF(G217&lt;&gt;"",W217+X217+Y217+Z217+AB217+AC217+AD217,"")</f>
        <v/>
      </c>
      <c r="P217" s="9" t="str">
        <f aca="false">IF(G217&lt;&gt;"",IF(O217&lt;=Presupuesto,"✓","✗"),"")</f>
        <v/>
      </c>
      <c r="Q217" s="10" t="str">
        <f aca="false">IF(G217&lt;&gt;"",Presupuesto-O217,"")</f>
        <v/>
      </c>
      <c r="R217" s="11"/>
      <c r="S217" s="11"/>
      <c r="T217" s="12"/>
      <c r="U217" s="12"/>
      <c r="V217" s="11"/>
      <c r="W217" s="13" t="str">
        <f aca="false">IF(G217&lt;&gt;"",MAX(G217-Credito,G217*0.1),"")</f>
        <v/>
      </c>
      <c r="X217" s="13" t="str">
        <f aca="false">IF(G217&lt;&gt;"",ROUND(G217*0.02*1.21,0),"")</f>
        <v/>
      </c>
      <c r="Y217" s="13" t="str">
        <f aca="false">IF(G217&lt;&gt;"",IF(G217&lt;=140000,0,ROUND(G217*0.0175,0)),"")</f>
        <v/>
      </c>
      <c r="Z217" s="13" t="str">
        <f aca="false">IF(G217&lt;&gt;"",ROUND(G217*0.004,0),"")</f>
        <v/>
      </c>
      <c r="AA217" s="14"/>
      <c r="AB217" s="13" t="str">
        <f aca="false">IF(G217&lt;&gt;"",IF(AA217="Sí",ROUND(G217*0.04*1.21,0),0),"")</f>
        <v/>
      </c>
      <c r="AC217" s="13" t="str">
        <f aca="false">IF(G217&lt;&gt;"",ROUND(G217*0.01,0),"")</f>
        <v/>
      </c>
      <c r="AD217" s="13" t="str">
        <f aca="false">IF(G217&lt;&gt;"",300,"")</f>
        <v/>
      </c>
      <c r="AE217" s="15"/>
      <c r="AF217" s="15"/>
      <c r="AG217" s="16"/>
      <c r="AH217" s="16"/>
      <c r="AI217" s="17" t="str">
        <f aca="false">IF(AND(AG217&lt;&gt;"",AH217&lt;&gt;""),(AG217+AH217)/2,"")</f>
        <v/>
      </c>
      <c r="AJ217" s="15"/>
      <c r="AK217" s="15"/>
    </row>
    <row r="218" customFormat="false" ht="15" hidden="false" customHeight="false" outlineLevel="0" collapsed="false">
      <c r="A218" s="2" t="str">
        <f aca="false">IF(E218&lt;&gt;"",ROW()-1,"")</f>
        <v/>
      </c>
      <c r="B218" s="3"/>
      <c r="C218" s="3"/>
      <c r="D218" s="3"/>
      <c r="E218" s="4"/>
      <c r="F218" s="4"/>
      <c r="G218" s="5"/>
      <c r="H218" s="4"/>
      <c r="I218" s="4"/>
      <c r="J218" s="4"/>
      <c r="K218" s="4"/>
      <c r="L218" s="6" t="str">
        <f aca="false">IF(AND(G218&lt;&gt;"",H218&gt;0),ROUND(G218/H218,0),"")</f>
        <v/>
      </c>
      <c r="M218" s="6" t="str">
        <f aca="false">IF(F218&lt;&gt;"",IFERROR(VLOOKUP(F218,TablaRef,2,FALSE()),"?"),"")</f>
        <v/>
      </c>
      <c r="N218" s="7" t="str">
        <f aca="false">IF(AND(L218&lt;&gt;"",M218&lt;&gt;"",ISNUMBER(M218)),IF(L218&lt;M218*(1-MargenPct),"🟢",IF(L218&gt;M218*(1+MargenPct),"🔴","🟡")),"")</f>
        <v/>
      </c>
      <c r="O218" s="8" t="str">
        <f aca="false">IF(G218&lt;&gt;"",W218+X218+Y218+Z218+AB218+AC218+AD218,"")</f>
        <v/>
      </c>
      <c r="P218" s="9" t="str">
        <f aca="false">IF(G218&lt;&gt;"",IF(O218&lt;=Presupuesto,"✓","✗"),"")</f>
        <v/>
      </c>
      <c r="Q218" s="10" t="str">
        <f aca="false">IF(G218&lt;&gt;"",Presupuesto-O218,"")</f>
        <v/>
      </c>
      <c r="R218" s="11"/>
      <c r="S218" s="11"/>
      <c r="T218" s="12"/>
      <c r="U218" s="12"/>
      <c r="V218" s="11"/>
      <c r="W218" s="13" t="str">
        <f aca="false">IF(G218&lt;&gt;"",MAX(G218-Credito,G218*0.1),"")</f>
        <v/>
      </c>
      <c r="X218" s="13" t="str">
        <f aca="false">IF(G218&lt;&gt;"",ROUND(G218*0.02*1.21,0),"")</f>
        <v/>
      </c>
      <c r="Y218" s="13" t="str">
        <f aca="false">IF(G218&lt;&gt;"",IF(G218&lt;=140000,0,ROUND(G218*0.0175,0)),"")</f>
        <v/>
      </c>
      <c r="Z218" s="13" t="str">
        <f aca="false">IF(G218&lt;&gt;"",ROUND(G218*0.004,0),"")</f>
        <v/>
      </c>
      <c r="AA218" s="14"/>
      <c r="AB218" s="13" t="str">
        <f aca="false">IF(G218&lt;&gt;"",IF(AA218="Sí",ROUND(G218*0.04*1.21,0),0),"")</f>
        <v/>
      </c>
      <c r="AC218" s="13" t="str">
        <f aca="false">IF(G218&lt;&gt;"",ROUND(G218*0.01,0),"")</f>
        <v/>
      </c>
      <c r="AD218" s="13" t="str">
        <f aca="false">IF(G218&lt;&gt;"",300,"")</f>
        <v/>
      </c>
      <c r="AE218" s="15"/>
      <c r="AF218" s="15"/>
      <c r="AG218" s="16"/>
      <c r="AH218" s="16"/>
      <c r="AI218" s="17" t="str">
        <f aca="false">IF(AND(AG218&lt;&gt;"",AH218&lt;&gt;""),(AG218+AH218)/2,"")</f>
        <v/>
      </c>
      <c r="AJ218" s="15"/>
      <c r="AK218" s="15"/>
    </row>
    <row r="219" customFormat="false" ht="15" hidden="false" customHeight="false" outlineLevel="0" collapsed="false">
      <c r="A219" s="2" t="str">
        <f aca="false">IF(E219&lt;&gt;"",ROW()-1,"")</f>
        <v/>
      </c>
      <c r="B219" s="3"/>
      <c r="C219" s="3"/>
      <c r="D219" s="3"/>
      <c r="E219" s="4"/>
      <c r="F219" s="4"/>
      <c r="G219" s="5"/>
      <c r="H219" s="4"/>
      <c r="I219" s="4"/>
      <c r="J219" s="4"/>
      <c r="K219" s="4"/>
      <c r="L219" s="6" t="str">
        <f aca="false">IF(AND(G219&lt;&gt;"",H219&gt;0),ROUND(G219/H219,0),"")</f>
        <v/>
      </c>
      <c r="M219" s="6" t="str">
        <f aca="false">IF(F219&lt;&gt;"",IFERROR(VLOOKUP(F219,TablaRef,2,FALSE()),"?"),"")</f>
        <v/>
      </c>
      <c r="N219" s="7" t="str">
        <f aca="false">IF(AND(L219&lt;&gt;"",M219&lt;&gt;"",ISNUMBER(M219)),IF(L219&lt;M219*(1-MargenPct),"🟢",IF(L219&gt;M219*(1+MargenPct),"🔴","🟡")),"")</f>
        <v/>
      </c>
      <c r="O219" s="8" t="str">
        <f aca="false">IF(G219&lt;&gt;"",W219+X219+Y219+Z219+AB219+AC219+AD219,"")</f>
        <v/>
      </c>
      <c r="P219" s="9" t="str">
        <f aca="false">IF(G219&lt;&gt;"",IF(O219&lt;=Presupuesto,"✓","✗"),"")</f>
        <v/>
      </c>
      <c r="Q219" s="10" t="str">
        <f aca="false">IF(G219&lt;&gt;"",Presupuesto-O219,"")</f>
        <v/>
      </c>
      <c r="R219" s="11"/>
      <c r="S219" s="11"/>
      <c r="T219" s="12"/>
      <c r="U219" s="12"/>
      <c r="V219" s="11"/>
      <c r="W219" s="13" t="str">
        <f aca="false">IF(G219&lt;&gt;"",MAX(G219-Credito,G219*0.1),"")</f>
        <v/>
      </c>
      <c r="X219" s="13" t="str">
        <f aca="false">IF(G219&lt;&gt;"",ROUND(G219*0.02*1.21,0),"")</f>
        <v/>
      </c>
      <c r="Y219" s="13" t="str">
        <f aca="false">IF(G219&lt;&gt;"",IF(G219&lt;=140000,0,ROUND(G219*0.0175,0)),"")</f>
        <v/>
      </c>
      <c r="Z219" s="13" t="str">
        <f aca="false">IF(G219&lt;&gt;"",ROUND(G219*0.004,0),"")</f>
        <v/>
      </c>
      <c r="AA219" s="14"/>
      <c r="AB219" s="13" t="str">
        <f aca="false">IF(G219&lt;&gt;"",IF(AA219="Sí",ROUND(G219*0.04*1.21,0),0),"")</f>
        <v/>
      </c>
      <c r="AC219" s="13" t="str">
        <f aca="false">IF(G219&lt;&gt;"",ROUND(G219*0.01,0),"")</f>
        <v/>
      </c>
      <c r="AD219" s="13" t="str">
        <f aca="false">IF(G219&lt;&gt;"",300,"")</f>
        <v/>
      </c>
      <c r="AE219" s="15"/>
      <c r="AF219" s="15"/>
      <c r="AG219" s="16"/>
      <c r="AH219" s="16"/>
      <c r="AI219" s="17" t="str">
        <f aca="false">IF(AND(AG219&lt;&gt;"",AH219&lt;&gt;""),(AG219+AH219)/2,"")</f>
        <v/>
      </c>
      <c r="AJ219" s="15"/>
      <c r="AK219" s="15"/>
    </row>
    <row r="220" customFormat="false" ht="15" hidden="false" customHeight="false" outlineLevel="0" collapsed="false">
      <c r="A220" s="2" t="str">
        <f aca="false">IF(E220&lt;&gt;"",ROW()-1,"")</f>
        <v/>
      </c>
      <c r="B220" s="3"/>
      <c r="C220" s="3"/>
      <c r="D220" s="3"/>
      <c r="E220" s="4"/>
      <c r="F220" s="4"/>
      <c r="G220" s="5"/>
      <c r="H220" s="4"/>
      <c r="I220" s="4"/>
      <c r="J220" s="4"/>
      <c r="K220" s="4"/>
      <c r="L220" s="6" t="str">
        <f aca="false">IF(AND(G220&lt;&gt;"",H220&gt;0),ROUND(G220/H220,0),"")</f>
        <v/>
      </c>
      <c r="M220" s="6" t="str">
        <f aca="false">IF(F220&lt;&gt;"",IFERROR(VLOOKUP(F220,TablaRef,2,FALSE()),"?"),"")</f>
        <v/>
      </c>
      <c r="N220" s="7" t="str">
        <f aca="false">IF(AND(L220&lt;&gt;"",M220&lt;&gt;"",ISNUMBER(M220)),IF(L220&lt;M220*(1-MargenPct),"🟢",IF(L220&gt;M220*(1+MargenPct),"🔴","🟡")),"")</f>
        <v/>
      </c>
      <c r="O220" s="8" t="str">
        <f aca="false">IF(G220&lt;&gt;"",W220+X220+Y220+Z220+AB220+AC220+AD220,"")</f>
        <v/>
      </c>
      <c r="P220" s="9" t="str">
        <f aca="false">IF(G220&lt;&gt;"",IF(O220&lt;=Presupuesto,"✓","✗"),"")</f>
        <v/>
      </c>
      <c r="Q220" s="10" t="str">
        <f aca="false">IF(G220&lt;&gt;"",Presupuesto-O220,"")</f>
        <v/>
      </c>
      <c r="R220" s="11"/>
      <c r="S220" s="11"/>
      <c r="T220" s="12"/>
      <c r="U220" s="12"/>
      <c r="V220" s="11"/>
      <c r="W220" s="13" t="str">
        <f aca="false">IF(G220&lt;&gt;"",MAX(G220-Credito,G220*0.1),"")</f>
        <v/>
      </c>
      <c r="X220" s="13" t="str">
        <f aca="false">IF(G220&lt;&gt;"",ROUND(G220*0.02*1.21,0),"")</f>
        <v/>
      </c>
      <c r="Y220" s="13" t="str">
        <f aca="false">IF(G220&lt;&gt;"",IF(G220&lt;=140000,0,ROUND(G220*0.0175,0)),"")</f>
        <v/>
      </c>
      <c r="Z220" s="13" t="str">
        <f aca="false">IF(G220&lt;&gt;"",ROUND(G220*0.004,0),"")</f>
        <v/>
      </c>
      <c r="AA220" s="14"/>
      <c r="AB220" s="13" t="str">
        <f aca="false">IF(G220&lt;&gt;"",IF(AA220="Sí",ROUND(G220*0.04*1.21,0),0),"")</f>
        <v/>
      </c>
      <c r="AC220" s="13" t="str">
        <f aca="false">IF(G220&lt;&gt;"",ROUND(G220*0.01,0),"")</f>
        <v/>
      </c>
      <c r="AD220" s="13" t="str">
        <f aca="false">IF(G220&lt;&gt;"",300,"")</f>
        <v/>
      </c>
      <c r="AE220" s="15"/>
      <c r="AF220" s="15"/>
      <c r="AG220" s="16"/>
      <c r="AH220" s="16"/>
      <c r="AI220" s="17" t="str">
        <f aca="false">IF(AND(AG220&lt;&gt;"",AH220&lt;&gt;""),(AG220+AH220)/2,"")</f>
        <v/>
      </c>
      <c r="AJ220" s="15"/>
      <c r="AK220" s="15"/>
    </row>
    <row r="221" customFormat="false" ht="15" hidden="false" customHeight="false" outlineLevel="0" collapsed="false">
      <c r="A221" s="2" t="str">
        <f aca="false">IF(E221&lt;&gt;"",ROW()-1,"")</f>
        <v/>
      </c>
      <c r="B221" s="3"/>
      <c r="C221" s="3"/>
      <c r="D221" s="3"/>
      <c r="E221" s="4"/>
      <c r="F221" s="4"/>
      <c r="G221" s="5"/>
      <c r="H221" s="4"/>
      <c r="I221" s="4"/>
      <c r="J221" s="4"/>
      <c r="K221" s="4"/>
      <c r="L221" s="6" t="str">
        <f aca="false">IF(AND(G221&lt;&gt;"",H221&gt;0),ROUND(G221/H221,0),"")</f>
        <v/>
      </c>
      <c r="M221" s="6" t="str">
        <f aca="false">IF(F221&lt;&gt;"",IFERROR(VLOOKUP(F221,TablaRef,2,FALSE()),"?"),"")</f>
        <v/>
      </c>
      <c r="N221" s="7" t="str">
        <f aca="false">IF(AND(L221&lt;&gt;"",M221&lt;&gt;"",ISNUMBER(M221)),IF(L221&lt;M221*(1-MargenPct),"🟢",IF(L221&gt;M221*(1+MargenPct),"🔴","🟡")),"")</f>
        <v/>
      </c>
      <c r="O221" s="8" t="str">
        <f aca="false">IF(G221&lt;&gt;"",W221+X221+Y221+Z221+AB221+AC221+AD221,"")</f>
        <v/>
      </c>
      <c r="P221" s="9" t="str">
        <f aca="false">IF(G221&lt;&gt;"",IF(O221&lt;=Presupuesto,"✓","✗"),"")</f>
        <v/>
      </c>
      <c r="Q221" s="10" t="str">
        <f aca="false">IF(G221&lt;&gt;"",Presupuesto-O221,"")</f>
        <v/>
      </c>
      <c r="R221" s="11"/>
      <c r="S221" s="11"/>
      <c r="T221" s="12"/>
      <c r="U221" s="12"/>
      <c r="V221" s="11"/>
      <c r="W221" s="13" t="str">
        <f aca="false">IF(G221&lt;&gt;"",MAX(G221-Credito,G221*0.1),"")</f>
        <v/>
      </c>
      <c r="X221" s="13" t="str">
        <f aca="false">IF(G221&lt;&gt;"",ROUND(G221*0.02*1.21,0),"")</f>
        <v/>
      </c>
      <c r="Y221" s="13" t="str">
        <f aca="false">IF(G221&lt;&gt;"",IF(G221&lt;=140000,0,ROUND(G221*0.0175,0)),"")</f>
        <v/>
      </c>
      <c r="Z221" s="13" t="str">
        <f aca="false">IF(G221&lt;&gt;"",ROUND(G221*0.004,0),"")</f>
        <v/>
      </c>
      <c r="AA221" s="14"/>
      <c r="AB221" s="13" t="str">
        <f aca="false">IF(G221&lt;&gt;"",IF(AA221="Sí",ROUND(G221*0.04*1.21,0),0),"")</f>
        <v/>
      </c>
      <c r="AC221" s="13" t="str">
        <f aca="false">IF(G221&lt;&gt;"",ROUND(G221*0.01,0),"")</f>
        <v/>
      </c>
      <c r="AD221" s="13" t="str">
        <f aca="false">IF(G221&lt;&gt;"",300,"")</f>
        <v/>
      </c>
      <c r="AE221" s="15"/>
      <c r="AF221" s="15"/>
      <c r="AG221" s="16"/>
      <c r="AH221" s="16"/>
      <c r="AI221" s="17" t="str">
        <f aca="false">IF(AND(AG221&lt;&gt;"",AH221&lt;&gt;""),(AG221+AH221)/2,"")</f>
        <v/>
      </c>
      <c r="AJ221" s="15"/>
      <c r="AK221" s="15"/>
    </row>
    <row r="222" customFormat="false" ht="15" hidden="false" customHeight="false" outlineLevel="0" collapsed="false">
      <c r="A222" s="2" t="str">
        <f aca="false">IF(E222&lt;&gt;"",ROW()-1,"")</f>
        <v/>
      </c>
      <c r="B222" s="3"/>
      <c r="C222" s="3"/>
      <c r="D222" s="3"/>
      <c r="E222" s="4"/>
      <c r="F222" s="4"/>
      <c r="G222" s="5"/>
      <c r="H222" s="4"/>
      <c r="I222" s="4"/>
      <c r="J222" s="4"/>
      <c r="K222" s="4"/>
      <c r="L222" s="6" t="str">
        <f aca="false">IF(AND(G222&lt;&gt;"",H222&gt;0),ROUND(G222/H222,0),"")</f>
        <v/>
      </c>
      <c r="M222" s="6" t="str">
        <f aca="false">IF(F222&lt;&gt;"",IFERROR(VLOOKUP(F222,TablaRef,2,FALSE()),"?"),"")</f>
        <v/>
      </c>
      <c r="N222" s="7" t="str">
        <f aca="false">IF(AND(L222&lt;&gt;"",M222&lt;&gt;"",ISNUMBER(M222)),IF(L222&lt;M222*(1-MargenPct),"🟢",IF(L222&gt;M222*(1+MargenPct),"🔴","🟡")),"")</f>
        <v/>
      </c>
      <c r="O222" s="8" t="str">
        <f aca="false">IF(G222&lt;&gt;"",W222+X222+Y222+Z222+AB222+AC222+AD222,"")</f>
        <v/>
      </c>
      <c r="P222" s="9" t="str">
        <f aca="false">IF(G222&lt;&gt;"",IF(O222&lt;=Presupuesto,"✓","✗"),"")</f>
        <v/>
      </c>
      <c r="Q222" s="10" t="str">
        <f aca="false">IF(G222&lt;&gt;"",Presupuesto-O222,"")</f>
        <v/>
      </c>
      <c r="R222" s="11"/>
      <c r="S222" s="11"/>
      <c r="T222" s="12"/>
      <c r="U222" s="12"/>
      <c r="V222" s="11"/>
      <c r="W222" s="13" t="str">
        <f aca="false">IF(G222&lt;&gt;"",MAX(G222-Credito,G222*0.1),"")</f>
        <v/>
      </c>
      <c r="X222" s="13" t="str">
        <f aca="false">IF(G222&lt;&gt;"",ROUND(G222*0.02*1.21,0),"")</f>
        <v/>
      </c>
      <c r="Y222" s="13" t="str">
        <f aca="false">IF(G222&lt;&gt;"",IF(G222&lt;=140000,0,ROUND(G222*0.0175,0)),"")</f>
        <v/>
      </c>
      <c r="Z222" s="13" t="str">
        <f aca="false">IF(G222&lt;&gt;"",ROUND(G222*0.004,0),"")</f>
        <v/>
      </c>
      <c r="AA222" s="14"/>
      <c r="AB222" s="13" t="str">
        <f aca="false">IF(G222&lt;&gt;"",IF(AA222="Sí",ROUND(G222*0.04*1.21,0),0),"")</f>
        <v/>
      </c>
      <c r="AC222" s="13" t="str">
        <f aca="false">IF(G222&lt;&gt;"",ROUND(G222*0.01,0),"")</f>
        <v/>
      </c>
      <c r="AD222" s="13" t="str">
        <f aca="false">IF(G222&lt;&gt;"",300,"")</f>
        <v/>
      </c>
      <c r="AE222" s="15"/>
      <c r="AF222" s="15"/>
      <c r="AG222" s="16"/>
      <c r="AH222" s="16"/>
      <c r="AI222" s="17" t="str">
        <f aca="false">IF(AND(AG222&lt;&gt;"",AH222&lt;&gt;""),(AG222+AH222)/2,"")</f>
        <v/>
      </c>
      <c r="AJ222" s="15"/>
      <c r="AK222" s="15"/>
    </row>
    <row r="223" customFormat="false" ht="15" hidden="false" customHeight="false" outlineLevel="0" collapsed="false">
      <c r="A223" s="2" t="str">
        <f aca="false">IF(E223&lt;&gt;"",ROW()-1,"")</f>
        <v/>
      </c>
      <c r="B223" s="3"/>
      <c r="C223" s="3"/>
      <c r="D223" s="3"/>
      <c r="E223" s="4"/>
      <c r="F223" s="4"/>
      <c r="G223" s="5"/>
      <c r="H223" s="4"/>
      <c r="I223" s="4"/>
      <c r="J223" s="4"/>
      <c r="K223" s="4"/>
      <c r="L223" s="6" t="str">
        <f aca="false">IF(AND(G223&lt;&gt;"",H223&gt;0),ROUND(G223/H223,0),"")</f>
        <v/>
      </c>
      <c r="M223" s="6" t="str">
        <f aca="false">IF(F223&lt;&gt;"",IFERROR(VLOOKUP(F223,TablaRef,2,FALSE()),"?"),"")</f>
        <v/>
      </c>
      <c r="N223" s="7" t="str">
        <f aca="false">IF(AND(L223&lt;&gt;"",M223&lt;&gt;"",ISNUMBER(M223)),IF(L223&lt;M223*(1-MargenPct),"🟢",IF(L223&gt;M223*(1+MargenPct),"🔴","🟡")),"")</f>
        <v/>
      </c>
      <c r="O223" s="8" t="str">
        <f aca="false">IF(G223&lt;&gt;"",W223+X223+Y223+Z223+AB223+AC223+AD223,"")</f>
        <v/>
      </c>
      <c r="P223" s="9" t="str">
        <f aca="false">IF(G223&lt;&gt;"",IF(O223&lt;=Presupuesto,"✓","✗"),"")</f>
        <v/>
      </c>
      <c r="Q223" s="10" t="str">
        <f aca="false">IF(G223&lt;&gt;"",Presupuesto-O223,"")</f>
        <v/>
      </c>
      <c r="R223" s="11"/>
      <c r="S223" s="11"/>
      <c r="T223" s="12"/>
      <c r="U223" s="12"/>
      <c r="V223" s="11"/>
      <c r="W223" s="13" t="str">
        <f aca="false">IF(G223&lt;&gt;"",MAX(G223-Credito,G223*0.1),"")</f>
        <v/>
      </c>
      <c r="X223" s="13" t="str">
        <f aca="false">IF(G223&lt;&gt;"",ROUND(G223*0.02*1.21,0),"")</f>
        <v/>
      </c>
      <c r="Y223" s="13" t="str">
        <f aca="false">IF(G223&lt;&gt;"",IF(G223&lt;=140000,0,ROUND(G223*0.0175,0)),"")</f>
        <v/>
      </c>
      <c r="Z223" s="13" t="str">
        <f aca="false">IF(G223&lt;&gt;"",ROUND(G223*0.004,0),"")</f>
        <v/>
      </c>
      <c r="AA223" s="14"/>
      <c r="AB223" s="13" t="str">
        <f aca="false">IF(G223&lt;&gt;"",IF(AA223="Sí",ROUND(G223*0.04*1.21,0),0),"")</f>
        <v/>
      </c>
      <c r="AC223" s="13" t="str">
        <f aca="false">IF(G223&lt;&gt;"",ROUND(G223*0.01,0),"")</f>
        <v/>
      </c>
      <c r="AD223" s="13" t="str">
        <f aca="false">IF(G223&lt;&gt;"",300,"")</f>
        <v/>
      </c>
      <c r="AE223" s="15"/>
      <c r="AF223" s="15"/>
      <c r="AG223" s="16"/>
      <c r="AH223" s="16"/>
      <c r="AI223" s="17" t="str">
        <f aca="false">IF(AND(AG223&lt;&gt;"",AH223&lt;&gt;""),(AG223+AH223)/2,"")</f>
        <v/>
      </c>
      <c r="AJ223" s="15"/>
      <c r="AK223" s="15"/>
    </row>
    <row r="224" customFormat="false" ht="15" hidden="false" customHeight="false" outlineLevel="0" collapsed="false">
      <c r="A224" s="2" t="str">
        <f aca="false">IF(E224&lt;&gt;"",ROW()-1,"")</f>
        <v/>
      </c>
      <c r="B224" s="3"/>
      <c r="C224" s="3"/>
      <c r="D224" s="3"/>
      <c r="E224" s="4"/>
      <c r="F224" s="4"/>
      <c r="G224" s="5"/>
      <c r="H224" s="4"/>
      <c r="I224" s="4"/>
      <c r="J224" s="4"/>
      <c r="K224" s="4"/>
      <c r="L224" s="6" t="str">
        <f aca="false">IF(AND(G224&lt;&gt;"",H224&gt;0),ROUND(G224/H224,0),"")</f>
        <v/>
      </c>
      <c r="M224" s="6" t="str">
        <f aca="false">IF(F224&lt;&gt;"",IFERROR(VLOOKUP(F224,TablaRef,2,FALSE()),"?"),"")</f>
        <v/>
      </c>
      <c r="N224" s="7" t="str">
        <f aca="false">IF(AND(L224&lt;&gt;"",M224&lt;&gt;"",ISNUMBER(M224)),IF(L224&lt;M224*(1-MargenPct),"🟢",IF(L224&gt;M224*(1+MargenPct),"🔴","🟡")),"")</f>
        <v/>
      </c>
      <c r="O224" s="8" t="str">
        <f aca="false">IF(G224&lt;&gt;"",W224+X224+Y224+Z224+AB224+AC224+AD224,"")</f>
        <v/>
      </c>
      <c r="P224" s="9" t="str">
        <f aca="false">IF(G224&lt;&gt;"",IF(O224&lt;=Presupuesto,"✓","✗"),"")</f>
        <v/>
      </c>
      <c r="Q224" s="10" t="str">
        <f aca="false">IF(G224&lt;&gt;"",Presupuesto-O224,"")</f>
        <v/>
      </c>
      <c r="R224" s="11"/>
      <c r="S224" s="11"/>
      <c r="T224" s="12"/>
      <c r="U224" s="12"/>
      <c r="V224" s="11"/>
      <c r="W224" s="13" t="str">
        <f aca="false">IF(G224&lt;&gt;"",MAX(G224-Credito,G224*0.1),"")</f>
        <v/>
      </c>
      <c r="X224" s="13" t="str">
        <f aca="false">IF(G224&lt;&gt;"",ROUND(G224*0.02*1.21,0),"")</f>
        <v/>
      </c>
      <c r="Y224" s="13" t="str">
        <f aca="false">IF(G224&lt;&gt;"",IF(G224&lt;=140000,0,ROUND(G224*0.0175,0)),"")</f>
        <v/>
      </c>
      <c r="Z224" s="13" t="str">
        <f aca="false">IF(G224&lt;&gt;"",ROUND(G224*0.004,0),"")</f>
        <v/>
      </c>
      <c r="AA224" s="14"/>
      <c r="AB224" s="13" t="str">
        <f aca="false">IF(G224&lt;&gt;"",IF(AA224="Sí",ROUND(G224*0.04*1.21,0),0),"")</f>
        <v/>
      </c>
      <c r="AC224" s="13" t="str">
        <f aca="false">IF(G224&lt;&gt;"",ROUND(G224*0.01,0),"")</f>
        <v/>
      </c>
      <c r="AD224" s="13" t="str">
        <f aca="false">IF(G224&lt;&gt;"",300,"")</f>
        <v/>
      </c>
      <c r="AE224" s="15"/>
      <c r="AF224" s="15"/>
      <c r="AG224" s="16"/>
      <c r="AH224" s="16"/>
      <c r="AI224" s="17" t="str">
        <f aca="false">IF(AND(AG224&lt;&gt;"",AH224&lt;&gt;""),(AG224+AH224)/2,"")</f>
        <v/>
      </c>
      <c r="AJ224" s="15"/>
      <c r="AK224" s="15"/>
    </row>
    <row r="225" customFormat="false" ht="15" hidden="false" customHeight="false" outlineLevel="0" collapsed="false">
      <c r="A225" s="2" t="str">
        <f aca="false">IF(E225&lt;&gt;"",ROW()-1,"")</f>
        <v/>
      </c>
      <c r="B225" s="3"/>
      <c r="C225" s="3"/>
      <c r="D225" s="3"/>
      <c r="E225" s="4"/>
      <c r="F225" s="4"/>
      <c r="G225" s="5"/>
      <c r="H225" s="4"/>
      <c r="I225" s="4"/>
      <c r="J225" s="4"/>
      <c r="K225" s="4"/>
      <c r="L225" s="6" t="str">
        <f aca="false">IF(AND(G225&lt;&gt;"",H225&gt;0),ROUND(G225/H225,0),"")</f>
        <v/>
      </c>
      <c r="M225" s="6" t="str">
        <f aca="false">IF(F225&lt;&gt;"",IFERROR(VLOOKUP(F225,TablaRef,2,FALSE()),"?"),"")</f>
        <v/>
      </c>
      <c r="N225" s="7" t="str">
        <f aca="false">IF(AND(L225&lt;&gt;"",M225&lt;&gt;"",ISNUMBER(M225)),IF(L225&lt;M225*(1-MargenPct),"🟢",IF(L225&gt;M225*(1+MargenPct),"🔴","🟡")),"")</f>
        <v/>
      </c>
      <c r="O225" s="8" t="str">
        <f aca="false">IF(G225&lt;&gt;"",W225+X225+Y225+Z225+AB225+AC225+AD225,"")</f>
        <v/>
      </c>
      <c r="P225" s="9" t="str">
        <f aca="false">IF(G225&lt;&gt;"",IF(O225&lt;=Presupuesto,"✓","✗"),"")</f>
        <v/>
      </c>
      <c r="Q225" s="10" t="str">
        <f aca="false">IF(G225&lt;&gt;"",Presupuesto-O225,"")</f>
        <v/>
      </c>
      <c r="R225" s="11"/>
      <c r="S225" s="11"/>
      <c r="T225" s="12"/>
      <c r="U225" s="12"/>
      <c r="V225" s="11"/>
      <c r="W225" s="13" t="str">
        <f aca="false">IF(G225&lt;&gt;"",MAX(G225-Credito,G225*0.1),"")</f>
        <v/>
      </c>
      <c r="X225" s="13" t="str">
        <f aca="false">IF(G225&lt;&gt;"",ROUND(G225*0.02*1.21,0),"")</f>
        <v/>
      </c>
      <c r="Y225" s="13" t="str">
        <f aca="false">IF(G225&lt;&gt;"",IF(G225&lt;=140000,0,ROUND(G225*0.0175,0)),"")</f>
        <v/>
      </c>
      <c r="Z225" s="13" t="str">
        <f aca="false">IF(G225&lt;&gt;"",ROUND(G225*0.004,0),"")</f>
        <v/>
      </c>
      <c r="AA225" s="14"/>
      <c r="AB225" s="13" t="str">
        <f aca="false">IF(G225&lt;&gt;"",IF(AA225="Sí",ROUND(G225*0.04*1.21,0),0),"")</f>
        <v/>
      </c>
      <c r="AC225" s="13" t="str">
        <f aca="false">IF(G225&lt;&gt;"",ROUND(G225*0.01,0),"")</f>
        <v/>
      </c>
      <c r="AD225" s="13" t="str">
        <f aca="false">IF(G225&lt;&gt;"",300,"")</f>
        <v/>
      </c>
      <c r="AE225" s="15"/>
      <c r="AF225" s="15"/>
      <c r="AG225" s="16"/>
      <c r="AH225" s="16"/>
      <c r="AI225" s="17" t="str">
        <f aca="false">IF(AND(AG225&lt;&gt;"",AH225&lt;&gt;""),(AG225+AH225)/2,"")</f>
        <v/>
      </c>
      <c r="AJ225" s="15"/>
      <c r="AK225" s="15"/>
    </row>
    <row r="226" customFormat="false" ht="15" hidden="false" customHeight="false" outlineLevel="0" collapsed="false">
      <c r="A226" s="2" t="str">
        <f aca="false">IF(E226&lt;&gt;"",ROW()-1,"")</f>
        <v/>
      </c>
      <c r="B226" s="3"/>
      <c r="C226" s="3"/>
      <c r="D226" s="3"/>
      <c r="E226" s="4"/>
      <c r="F226" s="4"/>
      <c r="G226" s="5"/>
      <c r="H226" s="4"/>
      <c r="I226" s="4"/>
      <c r="J226" s="4"/>
      <c r="K226" s="4"/>
      <c r="L226" s="6" t="str">
        <f aca="false">IF(AND(G226&lt;&gt;"",H226&gt;0),ROUND(G226/H226,0),"")</f>
        <v/>
      </c>
      <c r="M226" s="6" t="str">
        <f aca="false">IF(F226&lt;&gt;"",IFERROR(VLOOKUP(F226,TablaRef,2,FALSE()),"?"),"")</f>
        <v/>
      </c>
      <c r="N226" s="7" t="str">
        <f aca="false">IF(AND(L226&lt;&gt;"",M226&lt;&gt;"",ISNUMBER(M226)),IF(L226&lt;M226*(1-MargenPct),"🟢",IF(L226&gt;M226*(1+MargenPct),"🔴","🟡")),"")</f>
        <v/>
      </c>
      <c r="O226" s="8" t="str">
        <f aca="false">IF(G226&lt;&gt;"",W226+X226+Y226+Z226+AB226+AC226+AD226,"")</f>
        <v/>
      </c>
      <c r="P226" s="9" t="str">
        <f aca="false">IF(G226&lt;&gt;"",IF(O226&lt;=Presupuesto,"✓","✗"),"")</f>
        <v/>
      </c>
      <c r="Q226" s="10" t="str">
        <f aca="false">IF(G226&lt;&gt;"",Presupuesto-O226,"")</f>
        <v/>
      </c>
      <c r="R226" s="11"/>
      <c r="S226" s="11"/>
      <c r="T226" s="12"/>
      <c r="U226" s="12"/>
      <c r="V226" s="11"/>
      <c r="W226" s="13" t="str">
        <f aca="false">IF(G226&lt;&gt;"",MAX(G226-Credito,G226*0.1),"")</f>
        <v/>
      </c>
      <c r="X226" s="13" t="str">
        <f aca="false">IF(G226&lt;&gt;"",ROUND(G226*0.02*1.21,0),"")</f>
        <v/>
      </c>
      <c r="Y226" s="13" t="str">
        <f aca="false">IF(G226&lt;&gt;"",IF(G226&lt;=140000,0,ROUND(G226*0.0175,0)),"")</f>
        <v/>
      </c>
      <c r="Z226" s="13" t="str">
        <f aca="false">IF(G226&lt;&gt;"",ROUND(G226*0.004,0),"")</f>
        <v/>
      </c>
      <c r="AA226" s="14"/>
      <c r="AB226" s="13" t="str">
        <f aca="false">IF(G226&lt;&gt;"",IF(AA226="Sí",ROUND(G226*0.04*1.21,0),0),"")</f>
        <v/>
      </c>
      <c r="AC226" s="13" t="str">
        <f aca="false">IF(G226&lt;&gt;"",ROUND(G226*0.01,0),"")</f>
        <v/>
      </c>
      <c r="AD226" s="13" t="str">
        <f aca="false">IF(G226&lt;&gt;"",300,"")</f>
        <v/>
      </c>
      <c r="AE226" s="15"/>
      <c r="AF226" s="15"/>
      <c r="AG226" s="16"/>
      <c r="AH226" s="16"/>
      <c r="AI226" s="17" t="str">
        <f aca="false">IF(AND(AG226&lt;&gt;"",AH226&lt;&gt;""),(AG226+AH226)/2,"")</f>
        <v/>
      </c>
      <c r="AJ226" s="15"/>
      <c r="AK226" s="15"/>
    </row>
    <row r="227" customFormat="false" ht="15" hidden="false" customHeight="false" outlineLevel="0" collapsed="false">
      <c r="A227" s="2" t="str">
        <f aca="false">IF(E227&lt;&gt;"",ROW()-1,"")</f>
        <v/>
      </c>
      <c r="B227" s="3"/>
      <c r="C227" s="3"/>
      <c r="D227" s="3"/>
      <c r="E227" s="4"/>
      <c r="F227" s="4"/>
      <c r="G227" s="5"/>
      <c r="H227" s="4"/>
      <c r="I227" s="4"/>
      <c r="J227" s="4"/>
      <c r="K227" s="4"/>
      <c r="L227" s="6" t="str">
        <f aca="false">IF(AND(G227&lt;&gt;"",H227&gt;0),ROUND(G227/H227,0),"")</f>
        <v/>
      </c>
      <c r="M227" s="6" t="str">
        <f aca="false">IF(F227&lt;&gt;"",IFERROR(VLOOKUP(F227,TablaRef,2,FALSE()),"?"),"")</f>
        <v/>
      </c>
      <c r="N227" s="7" t="str">
        <f aca="false">IF(AND(L227&lt;&gt;"",M227&lt;&gt;"",ISNUMBER(M227)),IF(L227&lt;M227*(1-MargenPct),"🟢",IF(L227&gt;M227*(1+MargenPct),"🔴","🟡")),"")</f>
        <v/>
      </c>
      <c r="O227" s="8" t="str">
        <f aca="false">IF(G227&lt;&gt;"",W227+X227+Y227+Z227+AB227+AC227+AD227,"")</f>
        <v/>
      </c>
      <c r="P227" s="9" t="str">
        <f aca="false">IF(G227&lt;&gt;"",IF(O227&lt;=Presupuesto,"✓","✗"),"")</f>
        <v/>
      </c>
      <c r="Q227" s="10" t="str">
        <f aca="false">IF(G227&lt;&gt;"",Presupuesto-O227,"")</f>
        <v/>
      </c>
      <c r="R227" s="11"/>
      <c r="S227" s="11"/>
      <c r="T227" s="12"/>
      <c r="U227" s="12"/>
      <c r="V227" s="11"/>
      <c r="W227" s="13" t="str">
        <f aca="false">IF(G227&lt;&gt;"",MAX(G227-Credito,G227*0.1),"")</f>
        <v/>
      </c>
      <c r="X227" s="13" t="str">
        <f aca="false">IF(G227&lt;&gt;"",ROUND(G227*0.02*1.21,0),"")</f>
        <v/>
      </c>
      <c r="Y227" s="13" t="str">
        <f aca="false">IF(G227&lt;&gt;"",IF(G227&lt;=140000,0,ROUND(G227*0.0175,0)),"")</f>
        <v/>
      </c>
      <c r="Z227" s="13" t="str">
        <f aca="false">IF(G227&lt;&gt;"",ROUND(G227*0.004,0),"")</f>
        <v/>
      </c>
      <c r="AA227" s="14"/>
      <c r="AB227" s="13" t="str">
        <f aca="false">IF(G227&lt;&gt;"",IF(AA227="Sí",ROUND(G227*0.04*1.21,0),0),"")</f>
        <v/>
      </c>
      <c r="AC227" s="13" t="str">
        <f aca="false">IF(G227&lt;&gt;"",ROUND(G227*0.01,0),"")</f>
        <v/>
      </c>
      <c r="AD227" s="13" t="str">
        <f aca="false">IF(G227&lt;&gt;"",300,"")</f>
        <v/>
      </c>
      <c r="AE227" s="15"/>
      <c r="AF227" s="15"/>
      <c r="AG227" s="16"/>
      <c r="AH227" s="16"/>
      <c r="AI227" s="17" t="str">
        <f aca="false">IF(AND(AG227&lt;&gt;"",AH227&lt;&gt;""),(AG227+AH227)/2,"")</f>
        <v/>
      </c>
      <c r="AJ227" s="15"/>
      <c r="AK227" s="15"/>
    </row>
    <row r="228" customFormat="false" ht="15" hidden="false" customHeight="false" outlineLevel="0" collapsed="false">
      <c r="A228" s="2" t="str">
        <f aca="false">IF(E228&lt;&gt;"",ROW()-1,"")</f>
        <v/>
      </c>
      <c r="B228" s="3"/>
      <c r="C228" s="3"/>
      <c r="D228" s="3"/>
      <c r="E228" s="4"/>
      <c r="F228" s="4"/>
      <c r="G228" s="5"/>
      <c r="H228" s="4"/>
      <c r="I228" s="4"/>
      <c r="J228" s="4"/>
      <c r="K228" s="4"/>
      <c r="L228" s="6" t="str">
        <f aca="false">IF(AND(G228&lt;&gt;"",H228&gt;0),ROUND(G228/H228,0),"")</f>
        <v/>
      </c>
      <c r="M228" s="6" t="str">
        <f aca="false">IF(F228&lt;&gt;"",IFERROR(VLOOKUP(F228,TablaRef,2,FALSE()),"?"),"")</f>
        <v/>
      </c>
      <c r="N228" s="7" t="str">
        <f aca="false">IF(AND(L228&lt;&gt;"",M228&lt;&gt;"",ISNUMBER(M228)),IF(L228&lt;M228*(1-MargenPct),"🟢",IF(L228&gt;M228*(1+MargenPct),"🔴","🟡")),"")</f>
        <v/>
      </c>
      <c r="O228" s="8" t="str">
        <f aca="false">IF(G228&lt;&gt;"",W228+X228+Y228+Z228+AB228+AC228+AD228,"")</f>
        <v/>
      </c>
      <c r="P228" s="9" t="str">
        <f aca="false">IF(G228&lt;&gt;"",IF(O228&lt;=Presupuesto,"✓","✗"),"")</f>
        <v/>
      </c>
      <c r="Q228" s="10" t="str">
        <f aca="false">IF(G228&lt;&gt;"",Presupuesto-O228,"")</f>
        <v/>
      </c>
      <c r="R228" s="11"/>
      <c r="S228" s="11"/>
      <c r="T228" s="12"/>
      <c r="U228" s="12"/>
      <c r="V228" s="11"/>
      <c r="W228" s="13" t="str">
        <f aca="false">IF(G228&lt;&gt;"",MAX(G228-Credito,G228*0.1),"")</f>
        <v/>
      </c>
      <c r="X228" s="13" t="str">
        <f aca="false">IF(G228&lt;&gt;"",ROUND(G228*0.02*1.21,0),"")</f>
        <v/>
      </c>
      <c r="Y228" s="13" t="str">
        <f aca="false">IF(G228&lt;&gt;"",IF(G228&lt;=140000,0,ROUND(G228*0.0175,0)),"")</f>
        <v/>
      </c>
      <c r="Z228" s="13" t="str">
        <f aca="false">IF(G228&lt;&gt;"",ROUND(G228*0.004,0),"")</f>
        <v/>
      </c>
      <c r="AA228" s="14"/>
      <c r="AB228" s="13" t="str">
        <f aca="false">IF(G228&lt;&gt;"",IF(AA228="Sí",ROUND(G228*0.04*1.21,0),0),"")</f>
        <v/>
      </c>
      <c r="AC228" s="13" t="str">
        <f aca="false">IF(G228&lt;&gt;"",ROUND(G228*0.01,0),"")</f>
        <v/>
      </c>
      <c r="AD228" s="13" t="str">
        <f aca="false">IF(G228&lt;&gt;"",300,"")</f>
        <v/>
      </c>
      <c r="AE228" s="15"/>
      <c r="AF228" s="15"/>
      <c r="AG228" s="16"/>
      <c r="AH228" s="16"/>
      <c r="AI228" s="17" t="str">
        <f aca="false">IF(AND(AG228&lt;&gt;"",AH228&lt;&gt;""),(AG228+AH228)/2,"")</f>
        <v/>
      </c>
      <c r="AJ228" s="15"/>
      <c r="AK228" s="15"/>
    </row>
    <row r="229" customFormat="false" ht="15" hidden="false" customHeight="false" outlineLevel="0" collapsed="false">
      <c r="A229" s="2" t="str">
        <f aca="false">IF(E229&lt;&gt;"",ROW()-1,"")</f>
        <v/>
      </c>
      <c r="B229" s="3"/>
      <c r="C229" s="3"/>
      <c r="D229" s="3"/>
      <c r="E229" s="4"/>
      <c r="F229" s="4"/>
      <c r="G229" s="5"/>
      <c r="H229" s="4"/>
      <c r="I229" s="4"/>
      <c r="J229" s="4"/>
      <c r="K229" s="4"/>
      <c r="L229" s="6" t="str">
        <f aca="false">IF(AND(G229&lt;&gt;"",H229&gt;0),ROUND(G229/H229,0),"")</f>
        <v/>
      </c>
      <c r="M229" s="6" t="str">
        <f aca="false">IF(F229&lt;&gt;"",IFERROR(VLOOKUP(F229,TablaRef,2,FALSE()),"?"),"")</f>
        <v/>
      </c>
      <c r="N229" s="7" t="str">
        <f aca="false">IF(AND(L229&lt;&gt;"",M229&lt;&gt;"",ISNUMBER(M229)),IF(L229&lt;M229*(1-MargenPct),"🟢",IF(L229&gt;M229*(1+MargenPct),"🔴","🟡")),"")</f>
        <v/>
      </c>
      <c r="O229" s="8" t="str">
        <f aca="false">IF(G229&lt;&gt;"",W229+X229+Y229+Z229+AB229+AC229+AD229,"")</f>
        <v/>
      </c>
      <c r="P229" s="9" t="str">
        <f aca="false">IF(G229&lt;&gt;"",IF(O229&lt;=Presupuesto,"✓","✗"),"")</f>
        <v/>
      </c>
      <c r="Q229" s="10" t="str">
        <f aca="false">IF(G229&lt;&gt;"",Presupuesto-O229,"")</f>
        <v/>
      </c>
      <c r="R229" s="11"/>
      <c r="S229" s="11"/>
      <c r="T229" s="12"/>
      <c r="U229" s="12"/>
      <c r="V229" s="11"/>
      <c r="W229" s="13" t="str">
        <f aca="false">IF(G229&lt;&gt;"",MAX(G229-Credito,G229*0.1),"")</f>
        <v/>
      </c>
      <c r="X229" s="13" t="str">
        <f aca="false">IF(G229&lt;&gt;"",ROUND(G229*0.02*1.21,0),"")</f>
        <v/>
      </c>
      <c r="Y229" s="13" t="str">
        <f aca="false">IF(G229&lt;&gt;"",IF(G229&lt;=140000,0,ROUND(G229*0.0175,0)),"")</f>
        <v/>
      </c>
      <c r="Z229" s="13" t="str">
        <f aca="false">IF(G229&lt;&gt;"",ROUND(G229*0.004,0),"")</f>
        <v/>
      </c>
      <c r="AA229" s="14"/>
      <c r="AB229" s="13" t="str">
        <f aca="false">IF(G229&lt;&gt;"",IF(AA229="Sí",ROUND(G229*0.04*1.21,0),0),"")</f>
        <v/>
      </c>
      <c r="AC229" s="13" t="str">
        <f aca="false">IF(G229&lt;&gt;"",ROUND(G229*0.01,0),"")</f>
        <v/>
      </c>
      <c r="AD229" s="13" t="str">
        <f aca="false">IF(G229&lt;&gt;"",300,"")</f>
        <v/>
      </c>
      <c r="AE229" s="15"/>
      <c r="AF229" s="15"/>
      <c r="AG229" s="16"/>
      <c r="AH229" s="16"/>
      <c r="AI229" s="17" t="str">
        <f aca="false">IF(AND(AG229&lt;&gt;"",AH229&lt;&gt;""),(AG229+AH229)/2,"")</f>
        <v/>
      </c>
      <c r="AJ229" s="15"/>
      <c r="AK229" s="15"/>
    </row>
    <row r="230" customFormat="false" ht="15" hidden="false" customHeight="false" outlineLevel="0" collapsed="false">
      <c r="A230" s="2" t="str">
        <f aca="false">IF(E230&lt;&gt;"",ROW()-1,"")</f>
        <v/>
      </c>
      <c r="B230" s="3"/>
      <c r="C230" s="3"/>
      <c r="D230" s="3"/>
      <c r="E230" s="4"/>
      <c r="F230" s="4"/>
      <c r="G230" s="5"/>
      <c r="H230" s="4"/>
      <c r="I230" s="4"/>
      <c r="J230" s="4"/>
      <c r="K230" s="4"/>
      <c r="L230" s="6" t="str">
        <f aca="false">IF(AND(G230&lt;&gt;"",H230&gt;0),ROUND(G230/H230,0),"")</f>
        <v/>
      </c>
      <c r="M230" s="6" t="str">
        <f aca="false">IF(F230&lt;&gt;"",IFERROR(VLOOKUP(F230,TablaRef,2,FALSE()),"?"),"")</f>
        <v/>
      </c>
      <c r="N230" s="7" t="str">
        <f aca="false">IF(AND(L230&lt;&gt;"",M230&lt;&gt;"",ISNUMBER(M230)),IF(L230&lt;M230*(1-MargenPct),"🟢",IF(L230&gt;M230*(1+MargenPct),"🔴","🟡")),"")</f>
        <v/>
      </c>
      <c r="O230" s="8" t="str">
        <f aca="false">IF(G230&lt;&gt;"",W230+X230+Y230+Z230+AB230+AC230+AD230,"")</f>
        <v/>
      </c>
      <c r="P230" s="9" t="str">
        <f aca="false">IF(G230&lt;&gt;"",IF(O230&lt;=Presupuesto,"✓","✗"),"")</f>
        <v/>
      </c>
      <c r="Q230" s="10" t="str">
        <f aca="false">IF(G230&lt;&gt;"",Presupuesto-O230,"")</f>
        <v/>
      </c>
      <c r="R230" s="11"/>
      <c r="S230" s="11"/>
      <c r="T230" s="12"/>
      <c r="U230" s="12"/>
      <c r="V230" s="11"/>
      <c r="W230" s="13" t="str">
        <f aca="false">IF(G230&lt;&gt;"",MAX(G230-Credito,G230*0.1),"")</f>
        <v/>
      </c>
      <c r="X230" s="13" t="str">
        <f aca="false">IF(G230&lt;&gt;"",ROUND(G230*0.02*1.21,0),"")</f>
        <v/>
      </c>
      <c r="Y230" s="13" t="str">
        <f aca="false">IF(G230&lt;&gt;"",IF(G230&lt;=140000,0,ROUND(G230*0.0175,0)),"")</f>
        <v/>
      </c>
      <c r="Z230" s="13" t="str">
        <f aca="false">IF(G230&lt;&gt;"",ROUND(G230*0.004,0),"")</f>
        <v/>
      </c>
      <c r="AA230" s="14"/>
      <c r="AB230" s="13" t="str">
        <f aca="false">IF(G230&lt;&gt;"",IF(AA230="Sí",ROUND(G230*0.04*1.21,0),0),"")</f>
        <v/>
      </c>
      <c r="AC230" s="13" t="str">
        <f aca="false">IF(G230&lt;&gt;"",ROUND(G230*0.01,0),"")</f>
        <v/>
      </c>
      <c r="AD230" s="13" t="str">
        <f aca="false">IF(G230&lt;&gt;"",300,"")</f>
        <v/>
      </c>
      <c r="AE230" s="15"/>
      <c r="AF230" s="15"/>
      <c r="AG230" s="16"/>
      <c r="AH230" s="16"/>
      <c r="AI230" s="17" t="str">
        <f aca="false">IF(AND(AG230&lt;&gt;"",AH230&lt;&gt;""),(AG230+AH230)/2,"")</f>
        <v/>
      </c>
      <c r="AJ230" s="15"/>
      <c r="AK230" s="15"/>
    </row>
    <row r="231" customFormat="false" ht="15" hidden="false" customHeight="false" outlineLevel="0" collapsed="false">
      <c r="A231" s="2" t="str">
        <f aca="false">IF(E231&lt;&gt;"",ROW()-1,"")</f>
        <v/>
      </c>
      <c r="B231" s="3"/>
      <c r="C231" s="3"/>
      <c r="D231" s="3"/>
      <c r="E231" s="4"/>
      <c r="F231" s="4"/>
      <c r="G231" s="5"/>
      <c r="H231" s="4"/>
      <c r="I231" s="4"/>
      <c r="J231" s="4"/>
      <c r="K231" s="4"/>
      <c r="L231" s="6" t="str">
        <f aca="false">IF(AND(G231&lt;&gt;"",H231&gt;0),ROUND(G231/H231,0),"")</f>
        <v/>
      </c>
      <c r="M231" s="6" t="str">
        <f aca="false">IF(F231&lt;&gt;"",IFERROR(VLOOKUP(F231,TablaRef,2,FALSE()),"?"),"")</f>
        <v/>
      </c>
      <c r="N231" s="7" t="str">
        <f aca="false">IF(AND(L231&lt;&gt;"",M231&lt;&gt;"",ISNUMBER(M231)),IF(L231&lt;M231*(1-MargenPct),"🟢",IF(L231&gt;M231*(1+MargenPct),"🔴","🟡")),"")</f>
        <v/>
      </c>
      <c r="O231" s="8" t="str">
        <f aca="false">IF(G231&lt;&gt;"",W231+X231+Y231+Z231+AB231+AC231+AD231,"")</f>
        <v/>
      </c>
      <c r="P231" s="9" t="str">
        <f aca="false">IF(G231&lt;&gt;"",IF(O231&lt;=Presupuesto,"✓","✗"),"")</f>
        <v/>
      </c>
      <c r="Q231" s="10" t="str">
        <f aca="false">IF(G231&lt;&gt;"",Presupuesto-O231,"")</f>
        <v/>
      </c>
      <c r="R231" s="11"/>
      <c r="S231" s="11"/>
      <c r="T231" s="12"/>
      <c r="U231" s="12"/>
      <c r="V231" s="11"/>
      <c r="W231" s="13" t="str">
        <f aca="false">IF(G231&lt;&gt;"",MAX(G231-Credito,G231*0.1),"")</f>
        <v/>
      </c>
      <c r="X231" s="13" t="str">
        <f aca="false">IF(G231&lt;&gt;"",ROUND(G231*0.02*1.21,0),"")</f>
        <v/>
      </c>
      <c r="Y231" s="13" t="str">
        <f aca="false">IF(G231&lt;&gt;"",IF(G231&lt;=140000,0,ROUND(G231*0.0175,0)),"")</f>
        <v/>
      </c>
      <c r="Z231" s="13" t="str">
        <f aca="false">IF(G231&lt;&gt;"",ROUND(G231*0.004,0),"")</f>
        <v/>
      </c>
      <c r="AA231" s="14"/>
      <c r="AB231" s="13" t="str">
        <f aca="false">IF(G231&lt;&gt;"",IF(AA231="Sí",ROUND(G231*0.04*1.21,0),0),"")</f>
        <v/>
      </c>
      <c r="AC231" s="13" t="str">
        <f aca="false">IF(G231&lt;&gt;"",ROUND(G231*0.01,0),"")</f>
        <v/>
      </c>
      <c r="AD231" s="13" t="str">
        <f aca="false">IF(G231&lt;&gt;"",300,"")</f>
        <v/>
      </c>
      <c r="AE231" s="15"/>
      <c r="AF231" s="15"/>
      <c r="AG231" s="16"/>
      <c r="AH231" s="16"/>
      <c r="AI231" s="17" t="str">
        <f aca="false">IF(AND(AG231&lt;&gt;"",AH231&lt;&gt;""),(AG231+AH231)/2,"")</f>
        <v/>
      </c>
      <c r="AJ231" s="15"/>
      <c r="AK231" s="15"/>
    </row>
    <row r="232" customFormat="false" ht="15" hidden="false" customHeight="false" outlineLevel="0" collapsed="false">
      <c r="A232" s="2" t="str">
        <f aca="false">IF(E232&lt;&gt;"",ROW()-1,"")</f>
        <v/>
      </c>
      <c r="B232" s="3"/>
      <c r="C232" s="3"/>
      <c r="D232" s="3"/>
      <c r="E232" s="4"/>
      <c r="F232" s="4"/>
      <c r="G232" s="5"/>
      <c r="H232" s="4"/>
      <c r="I232" s="4"/>
      <c r="J232" s="4"/>
      <c r="K232" s="4"/>
      <c r="L232" s="6" t="str">
        <f aca="false">IF(AND(G232&lt;&gt;"",H232&gt;0),ROUND(G232/H232,0),"")</f>
        <v/>
      </c>
      <c r="M232" s="6" t="str">
        <f aca="false">IF(F232&lt;&gt;"",IFERROR(VLOOKUP(F232,TablaRef,2,FALSE()),"?"),"")</f>
        <v/>
      </c>
      <c r="N232" s="7" t="str">
        <f aca="false">IF(AND(L232&lt;&gt;"",M232&lt;&gt;"",ISNUMBER(M232)),IF(L232&lt;M232*(1-MargenPct),"🟢",IF(L232&gt;M232*(1+MargenPct),"🔴","🟡")),"")</f>
        <v/>
      </c>
      <c r="O232" s="8" t="str">
        <f aca="false">IF(G232&lt;&gt;"",W232+X232+Y232+Z232+AB232+AC232+AD232,"")</f>
        <v/>
      </c>
      <c r="P232" s="9" t="str">
        <f aca="false">IF(G232&lt;&gt;"",IF(O232&lt;=Presupuesto,"✓","✗"),"")</f>
        <v/>
      </c>
      <c r="Q232" s="10" t="str">
        <f aca="false">IF(G232&lt;&gt;"",Presupuesto-O232,"")</f>
        <v/>
      </c>
      <c r="R232" s="11"/>
      <c r="S232" s="11"/>
      <c r="T232" s="12"/>
      <c r="U232" s="12"/>
      <c r="V232" s="11"/>
      <c r="W232" s="13" t="str">
        <f aca="false">IF(G232&lt;&gt;"",MAX(G232-Credito,G232*0.1),"")</f>
        <v/>
      </c>
      <c r="X232" s="13" t="str">
        <f aca="false">IF(G232&lt;&gt;"",ROUND(G232*0.02*1.21,0),"")</f>
        <v/>
      </c>
      <c r="Y232" s="13" t="str">
        <f aca="false">IF(G232&lt;&gt;"",IF(G232&lt;=140000,0,ROUND(G232*0.0175,0)),"")</f>
        <v/>
      </c>
      <c r="Z232" s="13" t="str">
        <f aca="false">IF(G232&lt;&gt;"",ROUND(G232*0.004,0),"")</f>
        <v/>
      </c>
      <c r="AA232" s="14"/>
      <c r="AB232" s="13" t="str">
        <f aca="false">IF(G232&lt;&gt;"",IF(AA232="Sí",ROUND(G232*0.04*1.21,0),0),"")</f>
        <v/>
      </c>
      <c r="AC232" s="13" t="str">
        <f aca="false">IF(G232&lt;&gt;"",ROUND(G232*0.01,0),"")</f>
        <v/>
      </c>
      <c r="AD232" s="13" t="str">
        <f aca="false">IF(G232&lt;&gt;"",300,"")</f>
        <v/>
      </c>
      <c r="AE232" s="15"/>
      <c r="AF232" s="15"/>
      <c r="AG232" s="16"/>
      <c r="AH232" s="16"/>
      <c r="AI232" s="17" t="str">
        <f aca="false">IF(AND(AG232&lt;&gt;"",AH232&lt;&gt;""),(AG232+AH232)/2,"")</f>
        <v/>
      </c>
      <c r="AJ232" s="15"/>
      <c r="AK232" s="15"/>
    </row>
    <row r="233" customFormat="false" ht="15" hidden="false" customHeight="false" outlineLevel="0" collapsed="false">
      <c r="A233" s="2" t="str">
        <f aca="false">IF(E233&lt;&gt;"",ROW()-1,"")</f>
        <v/>
      </c>
      <c r="B233" s="3"/>
      <c r="C233" s="3"/>
      <c r="D233" s="3"/>
      <c r="E233" s="4"/>
      <c r="F233" s="4"/>
      <c r="G233" s="5"/>
      <c r="H233" s="4"/>
      <c r="I233" s="4"/>
      <c r="J233" s="4"/>
      <c r="K233" s="4"/>
      <c r="L233" s="6" t="str">
        <f aca="false">IF(AND(G233&lt;&gt;"",H233&gt;0),ROUND(G233/H233,0),"")</f>
        <v/>
      </c>
      <c r="M233" s="6" t="str">
        <f aca="false">IF(F233&lt;&gt;"",IFERROR(VLOOKUP(F233,TablaRef,2,FALSE()),"?"),"")</f>
        <v/>
      </c>
      <c r="N233" s="7" t="str">
        <f aca="false">IF(AND(L233&lt;&gt;"",M233&lt;&gt;"",ISNUMBER(M233)),IF(L233&lt;M233*(1-MargenPct),"🟢",IF(L233&gt;M233*(1+MargenPct),"🔴","🟡")),"")</f>
        <v/>
      </c>
      <c r="O233" s="8" t="str">
        <f aca="false">IF(G233&lt;&gt;"",W233+X233+Y233+Z233+AB233+AC233+AD233,"")</f>
        <v/>
      </c>
      <c r="P233" s="9" t="str">
        <f aca="false">IF(G233&lt;&gt;"",IF(O233&lt;=Presupuesto,"✓","✗"),"")</f>
        <v/>
      </c>
      <c r="Q233" s="10" t="str">
        <f aca="false">IF(G233&lt;&gt;"",Presupuesto-O233,"")</f>
        <v/>
      </c>
      <c r="R233" s="11"/>
      <c r="S233" s="11"/>
      <c r="T233" s="12"/>
      <c r="U233" s="12"/>
      <c r="V233" s="11"/>
      <c r="W233" s="13" t="str">
        <f aca="false">IF(G233&lt;&gt;"",MAX(G233-Credito,G233*0.1),"")</f>
        <v/>
      </c>
      <c r="X233" s="13" t="str">
        <f aca="false">IF(G233&lt;&gt;"",ROUND(G233*0.02*1.21,0),"")</f>
        <v/>
      </c>
      <c r="Y233" s="13" t="str">
        <f aca="false">IF(G233&lt;&gt;"",IF(G233&lt;=140000,0,ROUND(G233*0.0175,0)),"")</f>
        <v/>
      </c>
      <c r="Z233" s="13" t="str">
        <f aca="false">IF(G233&lt;&gt;"",ROUND(G233*0.004,0),"")</f>
        <v/>
      </c>
      <c r="AA233" s="14"/>
      <c r="AB233" s="13" t="str">
        <f aca="false">IF(G233&lt;&gt;"",IF(AA233="Sí",ROUND(G233*0.04*1.21,0),0),"")</f>
        <v/>
      </c>
      <c r="AC233" s="13" t="str">
        <f aca="false">IF(G233&lt;&gt;"",ROUND(G233*0.01,0),"")</f>
        <v/>
      </c>
      <c r="AD233" s="13" t="str">
        <f aca="false">IF(G233&lt;&gt;"",300,"")</f>
        <v/>
      </c>
      <c r="AE233" s="15"/>
      <c r="AF233" s="15"/>
      <c r="AG233" s="16"/>
      <c r="AH233" s="16"/>
      <c r="AI233" s="17" t="str">
        <f aca="false">IF(AND(AG233&lt;&gt;"",AH233&lt;&gt;""),(AG233+AH233)/2,"")</f>
        <v/>
      </c>
      <c r="AJ233" s="15"/>
      <c r="AK233" s="15"/>
    </row>
    <row r="234" customFormat="false" ht="15" hidden="false" customHeight="false" outlineLevel="0" collapsed="false">
      <c r="A234" s="2" t="str">
        <f aca="false">IF(E234&lt;&gt;"",ROW()-1,"")</f>
        <v/>
      </c>
      <c r="B234" s="3"/>
      <c r="C234" s="3"/>
      <c r="D234" s="3"/>
      <c r="E234" s="4"/>
      <c r="F234" s="4"/>
      <c r="G234" s="5"/>
      <c r="H234" s="4"/>
      <c r="I234" s="4"/>
      <c r="J234" s="4"/>
      <c r="K234" s="4"/>
      <c r="L234" s="6" t="str">
        <f aca="false">IF(AND(G234&lt;&gt;"",H234&gt;0),ROUND(G234/H234,0),"")</f>
        <v/>
      </c>
      <c r="M234" s="6" t="str">
        <f aca="false">IF(F234&lt;&gt;"",IFERROR(VLOOKUP(F234,TablaRef,2,FALSE()),"?"),"")</f>
        <v/>
      </c>
      <c r="N234" s="7" t="str">
        <f aca="false">IF(AND(L234&lt;&gt;"",M234&lt;&gt;"",ISNUMBER(M234)),IF(L234&lt;M234*(1-MargenPct),"🟢",IF(L234&gt;M234*(1+MargenPct),"🔴","🟡")),"")</f>
        <v/>
      </c>
      <c r="O234" s="8" t="str">
        <f aca="false">IF(G234&lt;&gt;"",W234+X234+Y234+Z234+AB234+AC234+AD234,"")</f>
        <v/>
      </c>
      <c r="P234" s="9" t="str">
        <f aca="false">IF(G234&lt;&gt;"",IF(O234&lt;=Presupuesto,"✓","✗"),"")</f>
        <v/>
      </c>
      <c r="Q234" s="10" t="str">
        <f aca="false">IF(G234&lt;&gt;"",Presupuesto-O234,"")</f>
        <v/>
      </c>
      <c r="R234" s="11"/>
      <c r="S234" s="11"/>
      <c r="T234" s="12"/>
      <c r="U234" s="12"/>
      <c r="V234" s="11"/>
      <c r="W234" s="13" t="str">
        <f aca="false">IF(G234&lt;&gt;"",MAX(G234-Credito,G234*0.1),"")</f>
        <v/>
      </c>
      <c r="X234" s="13" t="str">
        <f aca="false">IF(G234&lt;&gt;"",ROUND(G234*0.02*1.21,0),"")</f>
        <v/>
      </c>
      <c r="Y234" s="13" t="str">
        <f aca="false">IF(G234&lt;&gt;"",IF(G234&lt;=140000,0,ROUND(G234*0.0175,0)),"")</f>
        <v/>
      </c>
      <c r="Z234" s="13" t="str">
        <f aca="false">IF(G234&lt;&gt;"",ROUND(G234*0.004,0),"")</f>
        <v/>
      </c>
      <c r="AA234" s="14"/>
      <c r="AB234" s="13" t="str">
        <f aca="false">IF(G234&lt;&gt;"",IF(AA234="Sí",ROUND(G234*0.04*1.21,0),0),"")</f>
        <v/>
      </c>
      <c r="AC234" s="13" t="str">
        <f aca="false">IF(G234&lt;&gt;"",ROUND(G234*0.01,0),"")</f>
        <v/>
      </c>
      <c r="AD234" s="13" t="str">
        <f aca="false">IF(G234&lt;&gt;"",300,"")</f>
        <v/>
      </c>
      <c r="AE234" s="15"/>
      <c r="AF234" s="15"/>
      <c r="AG234" s="16"/>
      <c r="AH234" s="16"/>
      <c r="AI234" s="17" t="str">
        <f aca="false">IF(AND(AG234&lt;&gt;"",AH234&lt;&gt;""),(AG234+AH234)/2,"")</f>
        <v/>
      </c>
      <c r="AJ234" s="15"/>
      <c r="AK234" s="15"/>
    </row>
    <row r="235" customFormat="false" ht="15" hidden="false" customHeight="false" outlineLevel="0" collapsed="false">
      <c r="A235" s="2" t="str">
        <f aca="false">IF(E235&lt;&gt;"",ROW()-1,"")</f>
        <v/>
      </c>
      <c r="B235" s="3"/>
      <c r="C235" s="3"/>
      <c r="D235" s="3"/>
      <c r="E235" s="4"/>
      <c r="F235" s="4"/>
      <c r="G235" s="5"/>
      <c r="H235" s="4"/>
      <c r="I235" s="4"/>
      <c r="J235" s="4"/>
      <c r="K235" s="4"/>
      <c r="L235" s="6" t="str">
        <f aca="false">IF(AND(G235&lt;&gt;"",H235&gt;0),ROUND(G235/H235,0),"")</f>
        <v/>
      </c>
      <c r="M235" s="6" t="str">
        <f aca="false">IF(F235&lt;&gt;"",IFERROR(VLOOKUP(F235,TablaRef,2,FALSE()),"?"),"")</f>
        <v/>
      </c>
      <c r="N235" s="7" t="str">
        <f aca="false">IF(AND(L235&lt;&gt;"",M235&lt;&gt;"",ISNUMBER(M235)),IF(L235&lt;M235*(1-MargenPct),"🟢",IF(L235&gt;M235*(1+MargenPct),"🔴","🟡")),"")</f>
        <v/>
      </c>
      <c r="O235" s="8" t="str">
        <f aca="false">IF(G235&lt;&gt;"",W235+X235+Y235+Z235+AB235+AC235+AD235,"")</f>
        <v/>
      </c>
      <c r="P235" s="9" t="str">
        <f aca="false">IF(G235&lt;&gt;"",IF(O235&lt;=Presupuesto,"✓","✗"),"")</f>
        <v/>
      </c>
      <c r="Q235" s="10" t="str">
        <f aca="false">IF(G235&lt;&gt;"",Presupuesto-O235,"")</f>
        <v/>
      </c>
      <c r="R235" s="11"/>
      <c r="S235" s="11"/>
      <c r="T235" s="12"/>
      <c r="U235" s="12"/>
      <c r="V235" s="11"/>
      <c r="W235" s="13" t="str">
        <f aca="false">IF(G235&lt;&gt;"",MAX(G235-Credito,G235*0.1),"")</f>
        <v/>
      </c>
      <c r="X235" s="13" t="str">
        <f aca="false">IF(G235&lt;&gt;"",ROUND(G235*0.02*1.21,0),"")</f>
        <v/>
      </c>
      <c r="Y235" s="13" t="str">
        <f aca="false">IF(G235&lt;&gt;"",IF(G235&lt;=140000,0,ROUND(G235*0.0175,0)),"")</f>
        <v/>
      </c>
      <c r="Z235" s="13" t="str">
        <f aca="false">IF(G235&lt;&gt;"",ROUND(G235*0.004,0),"")</f>
        <v/>
      </c>
      <c r="AA235" s="14"/>
      <c r="AB235" s="13" t="str">
        <f aca="false">IF(G235&lt;&gt;"",IF(AA235="Sí",ROUND(G235*0.04*1.21,0),0),"")</f>
        <v/>
      </c>
      <c r="AC235" s="13" t="str">
        <f aca="false">IF(G235&lt;&gt;"",ROUND(G235*0.01,0),"")</f>
        <v/>
      </c>
      <c r="AD235" s="13" t="str">
        <f aca="false">IF(G235&lt;&gt;"",300,"")</f>
        <v/>
      </c>
      <c r="AE235" s="15"/>
      <c r="AF235" s="15"/>
      <c r="AG235" s="16"/>
      <c r="AH235" s="16"/>
      <c r="AI235" s="17" t="str">
        <f aca="false">IF(AND(AG235&lt;&gt;"",AH235&lt;&gt;""),(AG235+AH235)/2,"")</f>
        <v/>
      </c>
      <c r="AJ235" s="15"/>
      <c r="AK235" s="15"/>
    </row>
    <row r="236" customFormat="false" ht="15" hidden="false" customHeight="false" outlineLevel="0" collapsed="false">
      <c r="A236" s="2" t="str">
        <f aca="false">IF(E236&lt;&gt;"",ROW()-1,"")</f>
        <v/>
      </c>
      <c r="B236" s="3"/>
      <c r="C236" s="3"/>
      <c r="D236" s="3"/>
      <c r="E236" s="4"/>
      <c r="F236" s="4"/>
      <c r="G236" s="5"/>
      <c r="H236" s="4"/>
      <c r="I236" s="4"/>
      <c r="J236" s="4"/>
      <c r="K236" s="4"/>
      <c r="L236" s="6" t="str">
        <f aca="false">IF(AND(G236&lt;&gt;"",H236&gt;0),ROUND(G236/H236,0),"")</f>
        <v/>
      </c>
      <c r="M236" s="6" t="str">
        <f aca="false">IF(F236&lt;&gt;"",IFERROR(VLOOKUP(F236,TablaRef,2,FALSE()),"?"),"")</f>
        <v/>
      </c>
      <c r="N236" s="7" t="str">
        <f aca="false">IF(AND(L236&lt;&gt;"",M236&lt;&gt;"",ISNUMBER(M236)),IF(L236&lt;M236*(1-MargenPct),"🟢",IF(L236&gt;M236*(1+MargenPct),"🔴","🟡")),"")</f>
        <v/>
      </c>
      <c r="O236" s="8" t="str">
        <f aca="false">IF(G236&lt;&gt;"",W236+X236+Y236+Z236+AB236+AC236+AD236,"")</f>
        <v/>
      </c>
      <c r="P236" s="9" t="str">
        <f aca="false">IF(G236&lt;&gt;"",IF(O236&lt;=Presupuesto,"✓","✗"),"")</f>
        <v/>
      </c>
      <c r="Q236" s="10" t="str">
        <f aca="false">IF(G236&lt;&gt;"",Presupuesto-O236,"")</f>
        <v/>
      </c>
      <c r="R236" s="11"/>
      <c r="S236" s="11"/>
      <c r="T236" s="12"/>
      <c r="U236" s="12"/>
      <c r="V236" s="11"/>
      <c r="W236" s="13" t="str">
        <f aca="false">IF(G236&lt;&gt;"",MAX(G236-Credito,G236*0.1),"")</f>
        <v/>
      </c>
      <c r="X236" s="13" t="str">
        <f aca="false">IF(G236&lt;&gt;"",ROUND(G236*0.02*1.21,0),"")</f>
        <v/>
      </c>
      <c r="Y236" s="13" t="str">
        <f aca="false">IF(G236&lt;&gt;"",IF(G236&lt;=140000,0,ROUND(G236*0.0175,0)),"")</f>
        <v/>
      </c>
      <c r="Z236" s="13" t="str">
        <f aca="false">IF(G236&lt;&gt;"",ROUND(G236*0.004,0),"")</f>
        <v/>
      </c>
      <c r="AA236" s="14"/>
      <c r="AB236" s="13" t="str">
        <f aca="false">IF(G236&lt;&gt;"",IF(AA236="Sí",ROUND(G236*0.04*1.21,0),0),"")</f>
        <v/>
      </c>
      <c r="AC236" s="13" t="str">
        <f aca="false">IF(G236&lt;&gt;"",ROUND(G236*0.01,0),"")</f>
        <v/>
      </c>
      <c r="AD236" s="13" t="str">
        <f aca="false">IF(G236&lt;&gt;"",300,"")</f>
        <v/>
      </c>
      <c r="AE236" s="15"/>
      <c r="AF236" s="15"/>
      <c r="AG236" s="16"/>
      <c r="AH236" s="16"/>
      <c r="AI236" s="17" t="str">
        <f aca="false">IF(AND(AG236&lt;&gt;"",AH236&lt;&gt;""),(AG236+AH236)/2,"")</f>
        <v/>
      </c>
      <c r="AJ236" s="15"/>
      <c r="AK236" s="15"/>
    </row>
    <row r="237" customFormat="false" ht="15" hidden="false" customHeight="false" outlineLevel="0" collapsed="false">
      <c r="A237" s="2" t="str">
        <f aca="false">IF(E237&lt;&gt;"",ROW()-1,"")</f>
        <v/>
      </c>
      <c r="B237" s="3"/>
      <c r="C237" s="3"/>
      <c r="D237" s="3"/>
      <c r="E237" s="4"/>
      <c r="F237" s="4"/>
      <c r="G237" s="5"/>
      <c r="H237" s="4"/>
      <c r="I237" s="4"/>
      <c r="J237" s="4"/>
      <c r="K237" s="4"/>
      <c r="L237" s="6" t="str">
        <f aca="false">IF(AND(G237&lt;&gt;"",H237&gt;0),ROUND(G237/H237,0),"")</f>
        <v/>
      </c>
      <c r="M237" s="6" t="str">
        <f aca="false">IF(F237&lt;&gt;"",IFERROR(VLOOKUP(F237,TablaRef,2,FALSE()),"?"),"")</f>
        <v/>
      </c>
      <c r="N237" s="7" t="str">
        <f aca="false">IF(AND(L237&lt;&gt;"",M237&lt;&gt;"",ISNUMBER(M237)),IF(L237&lt;M237*(1-MargenPct),"🟢",IF(L237&gt;M237*(1+MargenPct),"🔴","🟡")),"")</f>
        <v/>
      </c>
      <c r="O237" s="8" t="str">
        <f aca="false">IF(G237&lt;&gt;"",W237+X237+Y237+Z237+AB237+AC237+AD237,"")</f>
        <v/>
      </c>
      <c r="P237" s="9" t="str">
        <f aca="false">IF(G237&lt;&gt;"",IF(O237&lt;=Presupuesto,"✓","✗"),"")</f>
        <v/>
      </c>
      <c r="Q237" s="10" t="str">
        <f aca="false">IF(G237&lt;&gt;"",Presupuesto-O237,"")</f>
        <v/>
      </c>
      <c r="R237" s="11"/>
      <c r="S237" s="11"/>
      <c r="T237" s="12"/>
      <c r="U237" s="12"/>
      <c r="V237" s="11"/>
      <c r="W237" s="13" t="str">
        <f aca="false">IF(G237&lt;&gt;"",MAX(G237-Credito,G237*0.1),"")</f>
        <v/>
      </c>
      <c r="X237" s="13" t="str">
        <f aca="false">IF(G237&lt;&gt;"",ROUND(G237*0.02*1.21,0),"")</f>
        <v/>
      </c>
      <c r="Y237" s="13" t="str">
        <f aca="false">IF(G237&lt;&gt;"",IF(G237&lt;=140000,0,ROUND(G237*0.0175,0)),"")</f>
        <v/>
      </c>
      <c r="Z237" s="13" t="str">
        <f aca="false">IF(G237&lt;&gt;"",ROUND(G237*0.004,0),"")</f>
        <v/>
      </c>
      <c r="AA237" s="14"/>
      <c r="AB237" s="13" t="str">
        <f aca="false">IF(G237&lt;&gt;"",IF(AA237="Sí",ROUND(G237*0.04*1.21,0),0),"")</f>
        <v/>
      </c>
      <c r="AC237" s="13" t="str">
        <f aca="false">IF(G237&lt;&gt;"",ROUND(G237*0.01,0),"")</f>
        <v/>
      </c>
      <c r="AD237" s="13" t="str">
        <f aca="false">IF(G237&lt;&gt;"",300,"")</f>
        <v/>
      </c>
      <c r="AE237" s="15"/>
      <c r="AF237" s="15"/>
      <c r="AG237" s="16"/>
      <c r="AH237" s="16"/>
      <c r="AI237" s="17" t="str">
        <f aca="false">IF(AND(AG237&lt;&gt;"",AH237&lt;&gt;""),(AG237+AH237)/2,"")</f>
        <v/>
      </c>
      <c r="AJ237" s="15"/>
      <c r="AK237" s="15"/>
    </row>
    <row r="238" customFormat="false" ht="15" hidden="false" customHeight="false" outlineLevel="0" collapsed="false">
      <c r="A238" s="2" t="str">
        <f aca="false">IF(E238&lt;&gt;"",ROW()-1,"")</f>
        <v/>
      </c>
      <c r="B238" s="3"/>
      <c r="C238" s="3"/>
      <c r="D238" s="3"/>
      <c r="E238" s="4"/>
      <c r="F238" s="4"/>
      <c r="G238" s="5"/>
      <c r="H238" s="4"/>
      <c r="I238" s="4"/>
      <c r="J238" s="4"/>
      <c r="K238" s="4"/>
      <c r="L238" s="6" t="str">
        <f aca="false">IF(AND(G238&lt;&gt;"",H238&gt;0),ROUND(G238/H238,0),"")</f>
        <v/>
      </c>
      <c r="M238" s="6" t="str">
        <f aca="false">IF(F238&lt;&gt;"",IFERROR(VLOOKUP(F238,TablaRef,2,FALSE()),"?"),"")</f>
        <v/>
      </c>
      <c r="N238" s="7" t="str">
        <f aca="false">IF(AND(L238&lt;&gt;"",M238&lt;&gt;"",ISNUMBER(M238)),IF(L238&lt;M238*(1-MargenPct),"🟢",IF(L238&gt;M238*(1+MargenPct),"🔴","🟡")),"")</f>
        <v/>
      </c>
      <c r="O238" s="8" t="str">
        <f aca="false">IF(G238&lt;&gt;"",W238+X238+Y238+Z238+AB238+AC238+AD238,"")</f>
        <v/>
      </c>
      <c r="P238" s="9" t="str">
        <f aca="false">IF(G238&lt;&gt;"",IF(O238&lt;=Presupuesto,"✓","✗"),"")</f>
        <v/>
      </c>
      <c r="Q238" s="10" t="str">
        <f aca="false">IF(G238&lt;&gt;"",Presupuesto-O238,"")</f>
        <v/>
      </c>
      <c r="R238" s="11"/>
      <c r="S238" s="11"/>
      <c r="T238" s="12"/>
      <c r="U238" s="12"/>
      <c r="V238" s="11"/>
      <c r="W238" s="13" t="str">
        <f aca="false">IF(G238&lt;&gt;"",MAX(G238-Credito,G238*0.1),"")</f>
        <v/>
      </c>
      <c r="X238" s="13" t="str">
        <f aca="false">IF(G238&lt;&gt;"",ROUND(G238*0.02*1.21,0),"")</f>
        <v/>
      </c>
      <c r="Y238" s="13" t="str">
        <f aca="false">IF(G238&lt;&gt;"",IF(G238&lt;=140000,0,ROUND(G238*0.0175,0)),"")</f>
        <v/>
      </c>
      <c r="Z238" s="13" t="str">
        <f aca="false">IF(G238&lt;&gt;"",ROUND(G238*0.004,0),"")</f>
        <v/>
      </c>
      <c r="AA238" s="14"/>
      <c r="AB238" s="13" t="str">
        <f aca="false">IF(G238&lt;&gt;"",IF(AA238="Sí",ROUND(G238*0.04*1.21,0),0),"")</f>
        <v/>
      </c>
      <c r="AC238" s="13" t="str">
        <f aca="false">IF(G238&lt;&gt;"",ROUND(G238*0.01,0),"")</f>
        <v/>
      </c>
      <c r="AD238" s="13" t="str">
        <f aca="false">IF(G238&lt;&gt;"",300,"")</f>
        <v/>
      </c>
      <c r="AE238" s="15"/>
      <c r="AF238" s="15"/>
      <c r="AG238" s="16"/>
      <c r="AH238" s="16"/>
      <c r="AI238" s="17" t="str">
        <f aca="false">IF(AND(AG238&lt;&gt;"",AH238&lt;&gt;""),(AG238+AH238)/2,"")</f>
        <v/>
      </c>
      <c r="AJ238" s="15"/>
      <c r="AK238" s="15"/>
    </row>
    <row r="239" customFormat="false" ht="15" hidden="false" customHeight="false" outlineLevel="0" collapsed="false">
      <c r="A239" s="2" t="str">
        <f aca="false">IF(E239&lt;&gt;"",ROW()-1,"")</f>
        <v/>
      </c>
      <c r="B239" s="3"/>
      <c r="C239" s="3"/>
      <c r="D239" s="3"/>
      <c r="E239" s="4"/>
      <c r="F239" s="4"/>
      <c r="G239" s="5"/>
      <c r="H239" s="4"/>
      <c r="I239" s="4"/>
      <c r="J239" s="4"/>
      <c r="K239" s="4"/>
      <c r="L239" s="6" t="str">
        <f aca="false">IF(AND(G239&lt;&gt;"",H239&gt;0),ROUND(G239/H239,0),"")</f>
        <v/>
      </c>
      <c r="M239" s="6" t="str">
        <f aca="false">IF(F239&lt;&gt;"",IFERROR(VLOOKUP(F239,TablaRef,2,FALSE()),"?"),"")</f>
        <v/>
      </c>
      <c r="N239" s="7" t="str">
        <f aca="false">IF(AND(L239&lt;&gt;"",M239&lt;&gt;"",ISNUMBER(M239)),IF(L239&lt;M239*(1-MargenPct),"🟢",IF(L239&gt;M239*(1+MargenPct),"🔴","🟡")),"")</f>
        <v/>
      </c>
      <c r="O239" s="8" t="str">
        <f aca="false">IF(G239&lt;&gt;"",W239+X239+Y239+Z239+AB239+AC239+AD239,"")</f>
        <v/>
      </c>
      <c r="P239" s="9" t="str">
        <f aca="false">IF(G239&lt;&gt;"",IF(O239&lt;=Presupuesto,"✓","✗"),"")</f>
        <v/>
      </c>
      <c r="Q239" s="10" t="str">
        <f aca="false">IF(G239&lt;&gt;"",Presupuesto-O239,"")</f>
        <v/>
      </c>
      <c r="R239" s="11"/>
      <c r="S239" s="11"/>
      <c r="T239" s="12"/>
      <c r="U239" s="12"/>
      <c r="V239" s="11"/>
      <c r="W239" s="13" t="str">
        <f aca="false">IF(G239&lt;&gt;"",MAX(G239-Credito,G239*0.1),"")</f>
        <v/>
      </c>
      <c r="X239" s="13" t="str">
        <f aca="false">IF(G239&lt;&gt;"",ROUND(G239*0.02*1.21,0),"")</f>
        <v/>
      </c>
      <c r="Y239" s="13" t="str">
        <f aca="false">IF(G239&lt;&gt;"",IF(G239&lt;=140000,0,ROUND(G239*0.0175,0)),"")</f>
        <v/>
      </c>
      <c r="Z239" s="13" t="str">
        <f aca="false">IF(G239&lt;&gt;"",ROUND(G239*0.004,0),"")</f>
        <v/>
      </c>
      <c r="AA239" s="14"/>
      <c r="AB239" s="13" t="str">
        <f aca="false">IF(G239&lt;&gt;"",IF(AA239="Sí",ROUND(G239*0.04*1.21,0),0),"")</f>
        <v/>
      </c>
      <c r="AC239" s="13" t="str">
        <f aca="false">IF(G239&lt;&gt;"",ROUND(G239*0.01,0),"")</f>
        <v/>
      </c>
      <c r="AD239" s="13" t="str">
        <f aca="false">IF(G239&lt;&gt;"",300,"")</f>
        <v/>
      </c>
      <c r="AE239" s="15"/>
      <c r="AF239" s="15"/>
      <c r="AG239" s="16"/>
      <c r="AH239" s="16"/>
      <c r="AI239" s="17" t="str">
        <f aca="false">IF(AND(AG239&lt;&gt;"",AH239&lt;&gt;""),(AG239+AH239)/2,"")</f>
        <v/>
      </c>
      <c r="AJ239" s="15"/>
      <c r="AK239" s="15"/>
    </row>
    <row r="240" customFormat="false" ht="15" hidden="false" customHeight="false" outlineLevel="0" collapsed="false">
      <c r="A240" s="2" t="str">
        <f aca="false">IF(E240&lt;&gt;"",ROW()-1,"")</f>
        <v/>
      </c>
      <c r="B240" s="3"/>
      <c r="C240" s="3"/>
      <c r="D240" s="3"/>
      <c r="E240" s="4"/>
      <c r="F240" s="4"/>
      <c r="G240" s="5"/>
      <c r="H240" s="4"/>
      <c r="I240" s="4"/>
      <c r="J240" s="4"/>
      <c r="K240" s="4"/>
      <c r="L240" s="6" t="str">
        <f aca="false">IF(AND(G240&lt;&gt;"",H240&gt;0),ROUND(G240/H240,0),"")</f>
        <v/>
      </c>
      <c r="M240" s="6" t="str">
        <f aca="false">IF(F240&lt;&gt;"",IFERROR(VLOOKUP(F240,TablaRef,2,FALSE()),"?"),"")</f>
        <v/>
      </c>
      <c r="N240" s="7" t="str">
        <f aca="false">IF(AND(L240&lt;&gt;"",M240&lt;&gt;"",ISNUMBER(M240)),IF(L240&lt;M240*(1-MargenPct),"🟢",IF(L240&gt;M240*(1+MargenPct),"🔴","🟡")),"")</f>
        <v/>
      </c>
      <c r="O240" s="8" t="str">
        <f aca="false">IF(G240&lt;&gt;"",W240+X240+Y240+Z240+AB240+AC240+AD240,"")</f>
        <v/>
      </c>
      <c r="P240" s="9" t="str">
        <f aca="false">IF(G240&lt;&gt;"",IF(O240&lt;=Presupuesto,"✓","✗"),"")</f>
        <v/>
      </c>
      <c r="Q240" s="10" t="str">
        <f aca="false">IF(G240&lt;&gt;"",Presupuesto-O240,"")</f>
        <v/>
      </c>
      <c r="R240" s="11"/>
      <c r="S240" s="11"/>
      <c r="T240" s="12"/>
      <c r="U240" s="12"/>
      <c r="V240" s="11"/>
      <c r="W240" s="13" t="str">
        <f aca="false">IF(G240&lt;&gt;"",MAX(G240-Credito,G240*0.1),"")</f>
        <v/>
      </c>
      <c r="X240" s="13" t="str">
        <f aca="false">IF(G240&lt;&gt;"",ROUND(G240*0.02*1.21,0),"")</f>
        <v/>
      </c>
      <c r="Y240" s="13" t="str">
        <f aca="false">IF(G240&lt;&gt;"",IF(G240&lt;=140000,0,ROUND(G240*0.0175,0)),"")</f>
        <v/>
      </c>
      <c r="Z240" s="13" t="str">
        <f aca="false">IF(G240&lt;&gt;"",ROUND(G240*0.004,0),"")</f>
        <v/>
      </c>
      <c r="AA240" s="14"/>
      <c r="AB240" s="13" t="str">
        <f aca="false">IF(G240&lt;&gt;"",IF(AA240="Sí",ROUND(G240*0.04*1.21,0),0),"")</f>
        <v/>
      </c>
      <c r="AC240" s="13" t="str">
        <f aca="false">IF(G240&lt;&gt;"",ROUND(G240*0.01,0),"")</f>
        <v/>
      </c>
      <c r="AD240" s="13" t="str">
        <f aca="false">IF(G240&lt;&gt;"",300,"")</f>
        <v/>
      </c>
      <c r="AE240" s="15"/>
      <c r="AF240" s="15"/>
      <c r="AG240" s="16"/>
      <c r="AH240" s="16"/>
      <c r="AI240" s="17" t="str">
        <f aca="false">IF(AND(AG240&lt;&gt;"",AH240&lt;&gt;""),(AG240+AH240)/2,"")</f>
        <v/>
      </c>
      <c r="AJ240" s="15"/>
      <c r="AK240" s="15"/>
    </row>
    <row r="241" customFormat="false" ht="15" hidden="false" customHeight="false" outlineLevel="0" collapsed="false">
      <c r="A241" s="2" t="str">
        <f aca="false">IF(E241&lt;&gt;"",ROW()-1,"")</f>
        <v/>
      </c>
      <c r="B241" s="3"/>
      <c r="C241" s="3"/>
      <c r="D241" s="3"/>
      <c r="E241" s="4"/>
      <c r="F241" s="4"/>
      <c r="G241" s="5"/>
      <c r="H241" s="4"/>
      <c r="I241" s="4"/>
      <c r="J241" s="4"/>
      <c r="K241" s="4"/>
      <c r="L241" s="6" t="str">
        <f aca="false">IF(AND(G241&lt;&gt;"",H241&gt;0),ROUND(G241/H241,0),"")</f>
        <v/>
      </c>
      <c r="M241" s="6" t="str">
        <f aca="false">IF(F241&lt;&gt;"",IFERROR(VLOOKUP(F241,TablaRef,2,FALSE()),"?"),"")</f>
        <v/>
      </c>
      <c r="N241" s="7" t="str">
        <f aca="false">IF(AND(L241&lt;&gt;"",M241&lt;&gt;"",ISNUMBER(M241)),IF(L241&lt;M241*(1-MargenPct),"🟢",IF(L241&gt;M241*(1+MargenPct),"🔴","🟡")),"")</f>
        <v/>
      </c>
      <c r="O241" s="8" t="str">
        <f aca="false">IF(G241&lt;&gt;"",W241+X241+Y241+Z241+AB241+AC241+AD241,"")</f>
        <v/>
      </c>
      <c r="P241" s="9" t="str">
        <f aca="false">IF(G241&lt;&gt;"",IF(O241&lt;=Presupuesto,"✓","✗"),"")</f>
        <v/>
      </c>
      <c r="Q241" s="10" t="str">
        <f aca="false">IF(G241&lt;&gt;"",Presupuesto-O241,"")</f>
        <v/>
      </c>
      <c r="R241" s="11"/>
      <c r="S241" s="11"/>
      <c r="T241" s="12"/>
      <c r="U241" s="12"/>
      <c r="V241" s="11"/>
      <c r="W241" s="13" t="str">
        <f aca="false">IF(G241&lt;&gt;"",MAX(G241-Credito,G241*0.1),"")</f>
        <v/>
      </c>
      <c r="X241" s="13" t="str">
        <f aca="false">IF(G241&lt;&gt;"",ROUND(G241*0.02*1.21,0),"")</f>
        <v/>
      </c>
      <c r="Y241" s="13" t="str">
        <f aca="false">IF(G241&lt;&gt;"",IF(G241&lt;=140000,0,ROUND(G241*0.0175,0)),"")</f>
        <v/>
      </c>
      <c r="Z241" s="13" t="str">
        <f aca="false">IF(G241&lt;&gt;"",ROUND(G241*0.004,0),"")</f>
        <v/>
      </c>
      <c r="AA241" s="14"/>
      <c r="AB241" s="13" t="str">
        <f aca="false">IF(G241&lt;&gt;"",IF(AA241="Sí",ROUND(G241*0.04*1.21,0),0),"")</f>
        <v/>
      </c>
      <c r="AC241" s="13" t="str">
        <f aca="false">IF(G241&lt;&gt;"",ROUND(G241*0.01,0),"")</f>
        <v/>
      </c>
      <c r="AD241" s="13" t="str">
        <f aca="false">IF(G241&lt;&gt;"",300,"")</f>
        <v/>
      </c>
      <c r="AE241" s="15"/>
      <c r="AF241" s="15"/>
      <c r="AG241" s="16"/>
      <c r="AH241" s="16"/>
      <c r="AI241" s="17" t="str">
        <f aca="false">IF(AND(AG241&lt;&gt;"",AH241&lt;&gt;""),(AG241+AH241)/2,"")</f>
        <v/>
      </c>
      <c r="AJ241" s="15"/>
      <c r="AK241" s="15"/>
    </row>
    <row r="242" customFormat="false" ht="15" hidden="false" customHeight="false" outlineLevel="0" collapsed="false">
      <c r="A242" s="2" t="str">
        <f aca="false">IF(E242&lt;&gt;"",ROW()-1,"")</f>
        <v/>
      </c>
      <c r="B242" s="3"/>
      <c r="C242" s="3"/>
      <c r="D242" s="3"/>
      <c r="E242" s="4"/>
      <c r="F242" s="4"/>
      <c r="G242" s="5"/>
      <c r="H242" s="4"/>
      <c r="I242" s="4"/>
      <c r="J242" s="4"/>
      <c r="K242" s="4"/>
      <c r="L242" s="6" t="str">
        <f aca="false">IF(AND(G242&lt;&gt;"",H242&gt;0),ROUND(G242/H242,0),"")</f>
        <v/>
      </c>
      <c r="M242" s="6" t="str">
        <f aca="false">IF(F242&lt;&gt;"",IFERROR(VLOOKUP(F242,TablaRef,2,FALSE()),"?"),"")</f>
        <v/>
      </c>
      <c r="N242" s="7" t="str">
        <f aca="false">IF(AND(L242&lt;&gt;"",M242&lt;&gt;"",ISNUMBER(M242)),IF(L242&lt;M242*(1-MargenPct),"🟢",IF(L242&gt;M242*(1+MargenPct),"🔴","🟡")),"")</f>
        <v/>
      </c>
      <c r="O242" s="8" t="str">
        <f aca="false">IF(G242&lt;&gt;"",W242+X242+Y242+Z242+AB242+AC242+AD242,"")</f>
        <v/>
      </c>
      <c r="P242" s="9" t="str">
        <f aca="false">IF(G242&lt;&gt;"",IF(O242&lt;=Presupuesto,"✓","✗"),"")</f>
        <v/>
      </c>
      <c r="Q242" s="10" t="str">
        <f aca="false">IF(G242&lt;&gt;"",Presupuesto-O242,"")</f>
        <v/>
      </c>
      <c r="R242" s="11"/>
      <c r="S242" s="11"/>
      <c r="T242" s="12"/>
      <c r="U242" s="12"/>
      <c r="V242" s="11"/>
      <c r="W242" s="13" t="str">
        <f aca="false">IF(G242&lt;&gt;"",MAX(G242-Credito,G242*0.1),"")</f>
        <v/>
      </c>
      <c r="X242" s="13" t="str">
        <f aca="false">IF(G242&lt;&gt;"",ROUND(G242*0.02*1.21,0),"")</f>
        <v/>
      </c>
      <c r="Y242" s="13" t="str">
        <f aca="false">IF(G242&lt;&gt;"",IF(G242&lt;=140000,0,ROUND(G242*0.0175,0)),"")</f>
        <v/>
      </c>
      <c r="Z242" s="13" t="str">
        <f aca="false">IF(G242&lt;&gt;"",ROUND(G242*0.004,0),"")</f>
        <v/>
      </c>
      <c r="AA242" s="14"/>
      <c r="AB242" s="13" t="str">
        <f aca="false">IF(G242&lt;&gt;"",IF(AA242="Sí",ROUND(G242*0.04*1.21,0),0),"")</f>
        <v/>
      </c>
      <c r="AC242" s="13" t="str">
        <f aca="false">IF(G242&lt;&gt;"",ROUND(G242*0.01,0),"")</f>
        <v/>
      </c>
      <c r="AD242" s="13" t="str">
        <f aca="false">IF(G242&lt;&gt;"",300,"")</f>
        <v/>
      </c>
      <c r="AE242" s="15"/>
      <c r="AF242" s="15"/>
      <c r="AG242" s="16"/>
      <c r="AH242" s="16"/>
      <c r="AI242" s="17" t="str">
        <f aca="false">IF(AND(AG242&lt;&gt;"",AH242&lt;&gt;""),(AG242+AH242)/2,"")</f>
        <v/>
      </c>
      <c r="AJ242" s="15"/>
      <c r="AK242" s="15"/>
    </row>
    <row r="243" customFormat="false" ht="15" hidden="false" customHeight="false" outlineLevel="0" collapsed="false">
      <c r="A243" s="2" t="str">
        <f aca="false">IF(E243&lt;&gt;"",ROW()-1,"")</f>
        <v/>
      </c>
      <c r="B243" s="3"/>
      <c r="C243" s="3"/>
      <c r="D243" s="3"/>
      <c r="E243" s="4"/>
      <c r="F243" s="4"/>
      <c r="G243" s="5"/>
      <c r="H243" s="4"/>
      <c r="I243" s="4"/>
      <c r="J243" s="4"/>
      <c r="K243" s="4"/>
      <c r="L243" s="6" t="str">
        <f aca="false">IF(AND(G243&lt;&gt;"",H243&gt;0),ROUND(G243/H243,0),"")</f>
        <v/>
      </c>
      <c r="M243" s="6" t="str">
        <f aca="false">IF(F243&lt;&gt;"",IFERROR(VLOOKUP(F243,TablaRef,2,FALSE()),"?"),"")</f>
        <v/>
      </c>
      <c r="N243" s="7" t="str">
        <f aca="false">IF(AND(L243&lt;&gt;"",M243&lt;&gt;"",ISNUMBER(M243)),IF(L243&lt;M243*(1-MargenPct),"🟢",IF(L243&gt;M243*(1+MargenPct),"🔴","🟡")),"")</f>
        <v/>
      </c>
      <c r="O243" s="8" t="str">
        <f aca="false">IF(G243&lt;&gt;"",W243+X243+Y243+Z243+AB243+AC243+AD243,"")</f>
        <v/>
      </c>
      <c r="P243" s="9" t="str">
        <f aca="false">IF(G243&lt;&gt;"",IF(O243&lt;=Presupuesto,"✓","✗"),"")</f>
        <v/>
      </c>
      <c r="Q243" s="10" t="str">
        <f aca="false">IF(G243&lt;&gt;"",Presupuesto-O243,"")</f>
        <v/>
      </c>
      <c r="R243" s="11"/>
      <c r="S243" s="11"/>
      <c r="T243" s="12"/>
      <c r="U243" s="12"/>
      <c r="V243" s="11"/>
      <c r="W243" s="13" t="str">
        <f aca="false">IF(G243&lt;&gt;"",MAX(G243-Credito,G243*0.1),"")</f>
        <v/>
      </c>
      <c r="X243" s="13" t="str">
        <f aca="false">IF(G243&lt;&gt;"",ROUND(G243*0.02*1.21,0),"")</f>
        <v/>
      </c>
      <c r="Y243" s="13" t="str">
        <f aca="false">IF(G243&lt;&gt;"",IF(G243&lt;=140000,0,ROUND(G243*0.0175,0)),"")</f>
        <v/>
      </c>
      <c r="Z243" s="13" t="str">
        <f aca="false">IF(G243&lt;&gt;"",ROUND(G243*0.004,0),"")</f>
        <v/>
      </c>
      <c r="AA243" s="14"/>
      <c r="AB243" s="13" t="str">
        <f aca="false">IF(G243&lt;&gt;"",IF(AA243="Sí",ROUND(G243*0.04*1.21,0),0),"")</f>
        <v/>
      </c>
      <c r="AC243" s="13" t="str">
        <f aca="false">IF(G243&lt;&gt;"",ROUND(G243*0.01,0),"")</f>
        <v/>
      </c>
      <c r="AD243" s="13" t="str">
        <f aca="false">IF(G243&lt;&gt;"",300,"")</f>
        <v/>
      </c>
      <c r="AE243" s="15"/>
      <c r="AF243" s="15"/>
      <c r="AG243" s="16"/>
      <c r="AH243" s="16"/>
      <c r="AI243" s="17" t="str">
        <f aca="false">IF(AND(AG243&lt;&gt;"",AH243&lt;&gt;""),(AG243+AH243)/2,"")</f>
        <v/>
      </c>
      <c r="AJ243" s="15"/>
      <c r="AK243" s="15"/>
    </row>
    <row r="244" customFormat="false" ht="15" hidden="false" customHeight="false" outlineLevel="0" collapsed="false">
      <c r="A244" s="2" t="str">
        <f aca="false">IF(E244&lt;&gt;"",ROW()-1,"")</f>
        <v/>
      </c>
      <c r="B244" s="3"/>
      <c r="C244" s="3"/>
      <c r="D244" s="3"/>
      <c r="E244" s="4"/>
      <c r="F244" s="4"/>
      <c r="G244" s="5"/>
      <c r="H244" s="4"/>
      <c r="I244" s="4"/>
      <c r="J244" s="4"/>
      <c r="K244" s="4"/>
      <c r="L244" s="6" t="str">
        <f aca="false">IF(AND(G244&lt;&gt;"",H244&gt;0),ROUND(G244/H244,0),"")</f>
        <v/>
      </c>
      <c r="M244" s="6" t="str">
        <f aca="false">IF(F244&lt;&gt;"",IFERROR(VLOOKUP(F244,TablaRef,2,FALSE()),"?"),"")</f>
        <v/>
      </c>
      <c r="N244" s="7" t="str">
        <f aca="false">IF(AND(L244&lt;&gt;"",M244&lt;&gt;"",ISNUMBER(M244)),IF(L244&lt;M244*(1-MargenPct),"🟢",IF(L244&gt;M244*(1+MargenPct),"🔴","🟡")),"")</f>
        <v/>
      </c>
      <c r="O244" s="8" t="str">
        <f aca="false">IF(G244&lt;&gt;"",W244+X244+Y244+Z244+AB244+AC244+AD244,"")</f>
        <v/>
      </c>
      <c r="P244" s="9" t="str">
        <f aca="false">IF(G244&lt;&gt;"",IF(O244&lt;=Presupuesto,"✓","✗"),"")</f>
        <v/>
      </c>
      <c r="Q244" s="10" t="str">
        <f aca="false">IF(G244&lt;&gt;"",Presupuesto-O244,"")</f>
        <v/>
      </c>
      <c r="R244" s="11"/>
      <c r="S244" s="11"/>
      <c r="T244" s="12"/>
      <c r="U244" s="12"/>
      <c r="V244" s="11"/>
      <c r="W244" s="13" t="str">
        <f aca="false">IF(G244&lt;&gt;"",MAX(G244-Credito,G244*0.1),"")</f>
        <v/>
      </c>
      <c r="X244" s="13" t="str">
        <f aca="false">IF(G244&lt;&gt;"",ROUND(G244*0.02*1.21,0),"")</f>
        <v/>
      </c>
      <c r="Y244" s="13" t="str">
        <f aca="false">IF(G244&lt;&gt;"",IF(G244&lt;=140000,0,ROUND(G244*0.0175,0)),"")</f>
        <v/>
      </c>
      <c r="Z244" s="13" t="str">
        <f aca="false">IF(G244&lt;&gt;"",ROUND(G244*0.004,0),"")</f>
        <v/>
      </c>
      <c r="AA244" s="14"/>
      <c r="AB244" s="13" t="str">
        <f aca="false">IF(G244&lt;&gt;"",IF(AA244="Sí",ROUND(G244*0.04*1.21,0),0),"")</f>
        <v/>
      </c>
      <c r="AC244" s="13" t="str">
        <f aca="false">IF(G244&lt;&gt;"",ROUND(G244*0.01,0),"")</f>
        <v/>
      </c>
      <c r="AD244" s="13" t="str">
        <f aca="false">IF(G244&lt;&gt;"",300,"")</f>
        <v/>
      </c>
      <c r="AE244" s="15"/>
      <c r="AF244" s="15"/>
      <c r="AG244" s="16"/>
      <c r="AH244" s="16"/>
      <c r="AI244" s="17" t="str">
        <f aca="false">IF(AND(AG244&lt;&gt;"",AH244&lt;&gt;""),(AG244+AH244)/2,"")</f>
        <v/>
      </c>
      <c r="AJ244" s="15"/>
      <c r="AK244" s="15"/>
    </row>
    <row r="245" customFormat="false" ht="15" hidden="false" customHeight="false" outlineLevel="0" collapsed="false">
      <c r="A245" s="2" t="str">
        <f aca="false">IF(E245&lt;&gt;"",ROW()-1,"")</f>
        <v/>
      </c>
      <c r="B245" s="3"/>
      <c r="C245" s="3"/>
      <c r="D245" s="3"/>
      <c r="E245" s="4"/>
      <c r="F245" s="4"/>
      <c r="G245" s="5"/>
      <c r="H245" s="4"/>
      <c r="I245" s="4"/>
      <c r="J245" s="4"/>
      <c r="K245" s="4"/>
      <c r="L245" s="6" t="str">
        <f aca="false">IF(AND(G245&lt;&gt;"",H245&gt;0),ROUND(G245/H245,0),"")</f>
        <v/>
      </c>
      <c r="M245" s="6" t="str">
        <f aca="false">IF(F245&lt;&gt;"",IFERROR(VLOOKUP(F245,TablaRef,2,FALSE()),"?"),"")</f>
        <v/>
      </c>
      <c r="N245" s="7" t="str">
        <f aca="false">IF(AND(L245&lt;&gt;"",M245&lt;&gt;"",ISNUMBER(M245)),IF(L245&lt;M245*(1-MargenPct),"🟢",IF(L245&gt;M245*(1+MargenPct),"🔴","🟡")),"")</f>
        <v/>
      </c>
      <c r="O245" s="8" t="str">
        <f aca="false">IF(G245&lt;&gt;"",W245+X245+Y245+Z245+AB245+AC245+AD245,"")</f>
        <v/>
      </c>
      <c r="P245" s="9" t="str">
        <f aca="false">IF(G245&lt;&gt;"",IF(O245&lt;=Presupuesto,"✓","✗"),"")</f>
        <v/>
      </c>
      <c r="Q245" s="10" t="str">
        <f aca="false">IF(G245&lt;&gt;"",Presupuesto-O245,"")</f>
        <v/>
      </c>
      <c r="R245" s="11"/>
      <c r="S245" s="11"/>
      <c r="T245" s="12"/>
      <c r="U245" s="12"/>
      <c r="V245" s="11"/>
      <c r="W245" s="13" t="str">
        <f aca="false">IF(G245&lt;&gt;"",MAX(G245-Credito,G245*0.1),"")</f>
        <v/>
      </c>
      <c r="X245" s="13" t="str">
        <f aca="false">IF(G245&lt;&gt;"",ROUND(G245*0.02*1.21,0),"")</f>
        <v/>
      </c>
      <c r="Y245" s="13" t="str">
        <f aca="false">IF(G245&lt;&gt;"",IF(G245&lt;=140000,0,ROUND(G245*0.0175,0)),"")</f>
        <v/>
      </c>
      <c r="Z245" s="13" t="str">
        <f aca="false">IF(G245&lt;&gt;"",ROUND(G245*0.004,0),"")</f>
        <v/>
      </c>
      <c r="AA245" s="14"/>
      <c r="AB245" s="13" t="str">
        <f aca="false">IF(G245&lt;&gt;"",IF(AA245="Sí",ROUND(G245*0.04*1.21,0),0),"")</f>
        <v/>
      </c>
      <c r="AC245" s="13" t="str">
        <f aca="false">IF(G245&lt;&gt;"",ROUND(G245*0.01,0),"")</f>
        <v/>
      </c>
      <c r="AD245" s="13" t="str">
        <f aca="false">IF(G245&lt;&gt;"",300,"")</f>
        <v/>
      </c>
      <c r="AE245" s="15"/>
      <c r="AF245" s="15"/>
      <c r="AG245" s="16"/>
      <c r="AH245" s="16"/>
      <c r="AI245" s="17" t="str">
        <f aca="false">IF(AND(AG245&lt;&gt;"",AH245&lt;&gt;""),(AG245+AH245)/2,"")</f>
        <v/>
      </c>
      <c r="AJ245" s="15"/>
      <c r="AK245" s="15"/>
    </row>
    <row r="246" customFormat="false" ht="15" hidden="false" customHeight="false" outlineLevel="0" collapsed="false">
      <c r="A246" s="2" t="str">
        <f aca="false">IF(E246&lt;&gt;"",ROW()-1,"")</f>
        <v/>
      </c>
      <c r="B246" s="3"/>
      <c r="C246" s="3"/>
      <c r="D246" s="3"/>
      <c r="E246" s="4"/>
      <c r="F246" s="4"/>
      <c r="G246" s="5"/>
      <c r="H246" s="4"/>
      <c r="I246" s="4"/>
      <c r="J246" s="4"/>
      <c r="K246" s="4"/>
      <c r="L246" s="6" t="str">
        <f aca="false">IF(AND(G246&lt;&gt;"",H246&gt;0),ROUND(G246/H246,0),"")</f>
        <v/>
      </c>
      <c r="M246" s="6" t="str">
        <f aca="false">IF(F246&lt;&gt;"",IFERROR(VLOOKUP(F246,TablaRef,2,FALSE()),"?"),"")</f>
        <v/>
      </c>
      <c r="N246" s="7" t="str">
        <f aca="false">IF(AND(L246&lt;&gt;"",M246&lt;&gt;"",ISNUMBER(M246)),IF(L246&lt;M246*(1-MargenPct),"🟢",IF(L246&gt;M246*(1+MargenPct),"🔴","🟡")),"")</f>
        <v/>
      </c>
      <c r="O246" s="8" t="str">
        <f aca="false">IF(G246&lt;&gt;"",W246+X246+Y246+Z246+AB246+AC246+AD246,"")</f>
        <v/>
      </c>
      <c r="P246" s="9" t="str">
        <f aca="false">IF(G246&lt;&gt;"",IF(O246&lt;=Presupuesto,"✓","✗"),"")</f>
        <v/>
      </c>
      <c r="Q246" s="10" t="str">
        <f aca="false">IF(G246&lt;&gt;"",Presupuesto-O246,"")</f>
        <v/>
      </c>
      <c r="R246" s="11"/>
      <c r="S246" s="11"/>
      <c r="T246" s="12"/>
      <c r="U246" s="12"/>
      <c r="V246" s="11"/>
      <c r="W246" s="13" t="str">
        <f aca="false">IF(G246&lt;&gt;"",MAX(G246-Credito,G246*0.1),"")</f>
        <v/>
      </c>
      <c r="X246" s="13" t="str">
        <f aca="false">IF(G246&lt;&gt;"",ROUND(G246*0.02*1.21,0),"")</f>
        <v/>
      </c>
      <c r="Y246" s="13" t="str">
        <f aca="false">IF(G246&lt;&gt;"",IF(G246&lt;=140000,0,ROUND(G246*0.0175,0)),"")</f>
        <v/>
      </c>
      <c r="Z246" s="13" t="str">
        <f aca="false">IF(G246&lt;&gt;"",ROUND(G246*0.004,0),"")</f>
        <v/>
      </c>
      <c r="AA246" s="14"/>
      <c r="AB246" s="13" t="str">
        <f aca="false">IF(G246&lt;&gt;"",IF(AA246="Sí",ROUND(G246*0.04*1.21,0),0),"")</f>
        <v/>
      </c>
      <c r="AC246" s="13" t="str">
        <f aca="false">IF(G246&lt;&gt;"",ROUND(G246*0.01,0),"")</f>
        <v/>
      </c>
      <c r="AD246" s="13" t="str">
        <f aca="false">IF(G246&lt;&gt;"",300,"")</f>
        <v/>
      </c>
      <c r="AE246" s="15"/>
      <c r="AF246" s="15"/>
      <c r="AG246" s="16"/>
      <c r="AH246" s="16"/>
      <c r="AI246" s="17" t="str">
        <f aca="false">IF(AND(AG246&lt;&gt;"",AH246&lt;&gt;""),(AG246+AH246)/2,"")</f>
        <v/>
      </c>
      <c r="AJ246" s="15"/>
      <c r="AK246" s="15"/>
    </row>
    <row r="247" customFormat="false" ht="15" hidden="false" customHeight="false" outlineLevel="0" collapsed="false">
      <c r="A247" s="2" t="str">
        <f aca="false">IF(E247&lt;&gt;"",ROW()-1,"")</f>
        <v/>
      </c>
      <c r="B247" s="3"/>
      <c r="C247" s="3"/>
      <c r="D247" s="3"/>
      <c r="E247" s="4"/>
      <c r="F247" s="4"/>
      <c r="G247" s="5"/>
      <c r="H247" s="4"/>
      <c r="I247" s="4"/>
      <c r="J247" s="4"/>
      <c r="K247" s="4"/>
      <c r="L247" s="6" t="str">
        <f aca="false">IF(AND(G247&lt;&gt;"",H247&gt;0),ROUND(G247/H247,0),"")</f>
        <v/>
      </c>
      <c r="M247" s="6" t="str">
        <f aca="false">IF(F247&lt;&gt;"",IFERROR(VLOOKUP(F247,TablaRef,2,FALSE()),"?"),"")</f>
        <v/>
      </c>
      <c r="N247" s="7" t="str">
        <f aca="false">IF(AND(L247&lt;&gt;"",M247&lt;&gt;"",ISNUMBER(M247)),IF(L247&lt;M247*(1-MargenPct),"🟢",IF(L247&gt;M247*(1+MargenPct),"🔴","🟡")),"")</f>
        <v/>
      </c>
      <c r="O247" s="8" t="str">
        <f aca="false">IF(G247&lt;&gt;"",W247+X247+Y247+Z247+AB247+AC247+AD247,"")</f>
        <v/>
      </c>
      <c r="P247" s="9" t="str">
        <f aca="false">IF(G247&lt;&gt;"",IF(O247&lt;=Presupuesto,"✓","✗"),"")</f>
        <v/>
      </c>
      <c r="Q247" s="10" t="str">
        <f aca="false">IF(G247&lt;&gt;"",Presupuesto-O247,"")</f>
        <v/>
      </c>
      <c r="R247" s="11"/>
      <c r="S247" s="11"/>
      <c r="T247" s="12"/>
      <c r="U247" s="12"/>
      <c r="V247" s="11"/>
      <c r="W247" s="13" t="str">
        <f aca="false">IF(G247&lt;&gt;"",MAX(G247-Credito,G247*0.1),"")</f>
        <v/>
      </c>
      <c r="X247" s="13" t="str">
        <f aca="false">IF(G247&lt;&gt;"",ROUND(G247*0.02*1.21,0),"")</f>
        <v/>
      </c>
      <c r="Y247" s="13" t="str">
        <f aca="false">IF(G247&lt;&gt;"",IF(G247&lt;=140000,0,ROUND(G247*0.0175,0)),"")</f>
        <v/>
      </c>
      <c r="Z247" s="13" t="str">
        <f aca="false">IF(G247&lt;&gt;"",ROUND(G247*0.004,0),"")</f>
        <v/>
      </c>
      <c r="AA247" s="14"/>
      <c r="AB247" s="13" t="str">
        <f aca="false">IF(G247&lt;&gt;"",IF(AA247="Sí",ROUND(G247*0.04*1.21,0),0),"")</f>
        <v/>
      </c>
      <c r="AC247" s="13" t="str">
        <f aca="false">IF(G247&lt;&gt;"",ROUND(G247*0.01,0),"")</f>
        <v/>
      </c>
      <c r="AD247" s="13" t="str">
        <f aca="false">IF(G247&lt;&gt;"",300,"")</f>
        <v/>
      </c>
      <c r="AE247" s="15"/>
      <c r="AF247" s="15"/>
      <c r="AG247" s="16"/>
      <c r="AH247" s="16"/>
      <c r="AI247" s="17" t="str">
        <f aca="false">IF(AND(AG247&lt;&gt;"",AH247&lt;&gt;""),(AG247+AH247)/2,"")</f>
        <v/>
      </c>
      <c r="AJ247" s="15"/>
      <c r="AK247" s="15"/>
    </row>
    <row r="248" customFormat="false" ht="15" hidden="false" customHeight="false" outlineLevel="0" collapsed="false">
      <c r="A248" s="2" t="str">
        <f aca="false">IF(E248&lt;&gt;"",ROW()-1,"")</f>
        <v/>
      </c>
      <c r="B248" s="3"/>
      <c r="C248" s="3"/>
      <c r="D248" s="3"/>
      <c r="E248" s="4"/>
      <c r="F248" s="4"/>
      <c r="G248" s="5"/>
      <c r="H248" s="4"/>
      <c r="I248" s="4"/>
      <c r="J248" s="4"/>
      <c r="K248" s="4"/>
      <c r="L248" s="6" t="str">
        <f aca="false">IF(AND(G248&lt;&gt;"",H248&gt;0),ROUND(G248/H248,0),"")</f>
        <v/>
      </c>
      <c r="M248" s="6" t="str">
        <f aca="false">IF(F248&lt;&gt;"",IFERROR(VLOOKUP(F248,TablaRef,2,FALSE()),"?"),"")</f>
        <v/>
      </c>
      <c r="N248" s="7" t="str">
        <f aca="false">IF(AND(L248&lt;&gt;"",M248&lt;&gt;"",ISNUMBER(M248)),IF(L248&lt;M248*(1-MargenPct),"🟢",IF(L248&gt;M248*(1+MargenPct),"🔴","🟡")),"")</f>
        <v/>
      </c>
      <c r="O248" s="8" t="str">
        <f aca="false">IF(G248&lt;&gt;"",W248+X248+Y248+Z248+AB248+AC248+AD248,"")</f>
        <v/>
      </c>
      <c r="P248" s="9" t="str">
        <f aca="false">IF(G248&lt;&gt;"",IF(O248&lt;=Presupuesto,"✓","✗"),"")</f>
        <v/>
      </c>
      <c r="Q248" s="10" t="str">
        <f aca="false">IF(G248&lt;&gt;"",Presupuesto-O248,"")</f>
        <v/>
      </c>
      <c r="R248" s="11"/>
      <c r="S248" s="11"/>
      <c r="T248" s="12"/>
      <c r="U248" s="12"/>
      <c r="V248" s="11"/>
      <c r="W248" s="13" t="str">
        <f aca="false">IF(G248&lt;&gt;"",MAX(G248-Credito,G248*0.1),"")</f>
        <v/>
      </c>
      <c r="X248" s="13" t="str">
        <f aca="false">IF(G248&lt;&gt;"",ROUND(G248*0.02*1.21,0),"")</f>
        <v/>
      </c>
      <c r="Y248" s="13" t="str">
        <f aca="false">IF(G248&lt;&gt;"",IF(G248&lt;=140000,0,ROUND(G248*0.0175,0)),"")</f>
        <v/>
      </c>
      <c r="Z248" s="13" t="str">
        <f aca="false">IF(G248&lt;&gt;"",ROUND(G248*0.004,0),"")</f>
        <v/>
      </c>
      <c r="AA248" s="14"/>
      <c r="AB248" s="13" t="str">
        <f aca="false">IF(G248&lt;&gt;"",IF(AA248="Sí",ROUND(G248*0.04*1.21,0),0),"")</f>
        <v/>
      </c>
      <c r="AC248" s="13" t="str">
        <f aca="false">IF(G248&lt;&gt;"",ROUND(G248*0.01,0),"")</f>
        <v/>
      </c>
      <c r="AD248" s="13" t="str">
        <f aca="false">IF(G248&lt;&gt;"",300,"")</f>
        <v/>
      </c>
      <c r="AE248" s="15"/>
      <c r="AF248" s="15"/>
      <c r="AG248" s="16"/>
      <c r="AH248" s="16"/>
      <c r="AI248" s="17" t="str">
        <f aca="false">IF(AND(AG248&lt;&gt;"",AH248&lt;&gt;""),(AG248+AH248)/2,"")</f>
        <v/>
      </c>
      <c r="AJ248" s="15"/>
      <c r="AK248" s="15"/>
    </row>
    <row r="249" customFormat="false" ht="15" hidden="false" customHeight="false" outlineLevel="0" collapsed="false">
      <c r="A249" s="2" t="str">
        <f aca="false">IF(E249&lt;&gt;"",ROW()-1,"")</f>
        <v/>
      </c>
      <c r="B249" s="3"/>
      <c r="C249" s="3"/>
      <c r="D249" s="3"/>
      <c r="E249" s="4"/>
      <c r="F249" s="4"/>
      <c r="G249" s="5"/>
      <c r="H249" s="4"/>
      <c r="I249" s="4"/>
      <c r="J249" s="4"/>
      <c r="K249" s="4"/>
      <c r="L249" s="6" t="str">
        <f aca="false">IF(AND(G249&lt;&gt;"",H249&gt;0),ROUND(G249/H249,0),"")</f>
        <v/>
      </c>
      <c r="M249" s="6" t="str">
        <f aca="false">IF(F249&lt;&gt;"",IFERROR(VLOOKUP(F249,TablaRef,2,FALSE()),"?"),"")</f>
        <v/>
      </c>
      <c r="N249" s="7" t="str">
        <f aca="false">IF(AND(L249&lt;&gt;"",M249&lt;&gt;"",ISNUMBER(M249)),IF(L249&lt;M249*(1-MargenPct),"🟢",IF(L249&gt;M249*(1+MargenPct),"🔴","🟡")),"")</f>
        <v/>
      </c>
      <c r="O249" s="8" t="str">
        <f aca="false">IF(G249&lt;&gt;"",W249+X249+Y249+Z249+AB249+AC249+AD249,"")</f>
        <v/>
      </c>
      <c r="P249" s="9" t="str">
        <f aca="false">IF(G249&lt;&gt;"",IF(O249&lt;=Presupuesto,"✓","✗"),"")</f>
        <v/>
      </c>
      <c r="Q249" s="10" t="str">
        <f aca="false">IF(G249&lt;&gt;"",Presupuesto-O249,"")</f>
        <v/>
      </c>
      <c r="R249" s="11"/>
      <c r="S249" s="11"/>
      <c r="T249" s="12"/>
      <c r="U249" s="12"/>
      <c r="V249" s="11"/>
      <c r="W249" s="13" t="str">
        <f aca="false">IF(G249&lt;&gt;"",MAX(G249-Credito,G249*0.1),"")</f>
        <v/>
      </c>
      <c r="X249" s="13" t="str">
        <f aca="false">IF(G249&lt;&gt;"",ROUND(G249*0.02*1.21,0),"")</f>
        <v/>
      </c>
      <c r="Y249" s="13" t="str">
        <f aca="false">IF(G249&lt;&gt;"",IF(G249&lt;=140000,0,ROUND(G249*0.0175,0)),"")</f>
        <v/>
      </c>
      <c r="Z249" s="13" t="str">
        <f aca="false">IF(G249&lt;&gt;"",ROUND(G249*0.004,0),"")</f>
        <v/>
      </c>
      <c r="AA249" s="14"/>
      <c r="AB249" s="13" t="str">
        <f aca="false">IF(G249&lt;&gt;"",IF(AA249="Sí",ROUND(G249*0.04*1.21,0),0),"")</f>
        <v/>
      </c>
      <c r="AC249" s="13" t="str">
        <f aca="false">IF(G249&lt;&gt;"",ROUND(G249*0.01,0),"")</f>
        <v/>
      </c>
      <c r="AD249" s="13" t="str">
        <f aca="false">IF(G249&lt;&gt;"",300,"")</f>
        <v/>
      </c>
      <c r="AE249" s="15"/>
      <c r="AF249" s="15"/>
      <c r="AG249" s="16"/>
      <c r="AH249" s="16"/>
      <c r="AI249" s="17" t="str">
        <f aca="false">IF(AND(AG249&lt;&gt;"",AH249&lt;&gt;""),(AG249+AH249)/2,"")</f>
        <v/>
      </c>
      <c r="AJ249" s="15"/>
      <c r="AK249" s="15"/>
    </row>
    <row r="250" customFormat="false" ht="15" hidden="false" customHeight="false" outlineLevel="0" collapsed="false">
      <c r="A250" s="2" t="str">
        <f aca="false">IF(E250&lt;&gt;"",ROW()-1,"")</f>
        <v/>
      </c>
      <c r="B250" s="3"/>
      <c r="C250" s="3"/>
      <c r="D250" s="3"/>
      <c r="E250" s="4"/>
      <c r="F250" s="4"/>
      <c r="G250" s="5"/>
      <c r="H250" s="4"/>
      <c r="I250" s="4"/>
      <c r="J250" s="4"/>
      <c r="K250" s="4"/>
      <c r="L250" s="6" t="str">
        <f aca="false">IF(AND(G250&lt;&gt;"",H250&gt;0),ROUND(G250/H250,0),"")</f>
        <v/>
      </c>
      <c r="M250" s="6" t="str">
        <f aca="false">IF(F250&lt;&gt;"",IFERROR(VLOOKUP(F250,TablaRef,2,FALSE()),"?"),"")</f>
        <v/>
      </c>
      <c r="N250" s="7" t="str">
        <f aca="false">IF(AND(L250&lt;&gt;"",M250&lt;&gt;"",ISNUMBER(M250)),IF(L250&lt;M250*(1-MargenPct),"🟢",IF(L250&gt;M250*(1+MargenPct),"🔴","🟡")),"")</f>
        <v/>
      </c>
      <c r="O250" s="8" t="str">
        <f aca="false">IF(G250&lt;&gt;"",W250+X250+Y250+Z250+AB250+AC250+AD250,"")</f>
        <v/>
      </c>
      <c r="P250" s="9" t="str">
        <f aca="false">IF(G250&lt;&gt;"",IF(O250&lt;=Presupuesto,"✓","✗"),"")</f>
        <v/>
      </c>
      <c r="Q250" s="10" t="str">
        <f aca="false">IF(G250&lt;&gt;"",Presupuesto-O250,"")</f>
        <v/>
      </c>
      <c r="R250" s="11"/>
      <c r="S250" s="11"/>
      <c r="T250" s="12"/>
      <c r="U250" s="12"/>
      <c r="V250" s="11"/>
      <c r="W250" s="13" t="str">
        <f aca="false">IF(G250&lt;&gt;"",MAX(G250-Credito,G250*0.1),"")</f>
        <v/>
      </c>
      <c r="X250" s="13" t="str">
        <f aca="false">IF(G250&lt;&gt;"",ROUND(G250*0.02*1.21,0),"")</f>
        <v/>
      </c>
      <c r="Y250" s="13" t="str">
        <f aca="false">IF(G250&lt;&gt;"",IF(G250&lt;=140000,0,ROUND(G250*0.0175,0)),"")</f>
        <v/>
      </c>
      <c r="Z250" s="13" t="str">
        <f aca="false">IF(G250&lt;&gt;"",ROUND(G250*0.004,0),"")</f>
        <v/>
      </c>
      <c r="AA250" s="14"/>
      <c r="AB250" s="13" t="str">
        <f aca="false">IF(G250&lt;&gt;"",IF(AA250="Sí",ROUND(G250*0.04*1.21,0),0),"")</f>
        <v/>
      </c>
      <c r="AC250" s="13" t="str">
        <f aca="false">IF(G250&lt;&gt;"",ROUND(G250*0.01,0),"")</f>
        <v/>
      </c>
      <c r="AD250" s="13" t="str">
        <f aca="false">IF(G250&lt;&gt;"",300,"")</f>
        <v/>
      </c>
      <c r="AE250" s="15"/>
      <c r="AF250" s="15"/>
      <c r="AG250" s="16"/>
      <c r="AH250" s="16"/>
      <c r="AI250" s="17" t="str">
        <f aca="false">IF(AND(AG250&lt;&gt;"",AH250&lt;&gt;""),(AG250+AH250)/2,"")</f>
        <v/>
      </c>
      <c r="AJ250" s="15"/>
      <c r="AK250" s="15"/>
    </row>
    <row r="251" customFormat="false" ht="15" hidden="false" customHeight="false" outlineLevel="0" collapsed="false">
      <c r="A251" s="2" t="str">
        <f aca="false">IF(E251&lt;&gt;"",ROW()-1,"")</f>
        <v/>
      </c>
      <c r="B251" s="3"/>
      <c r="C251" s="3"/>
      <c r="D251" s="3"/>
      <c r="E251" s="4"/>
      <c r="F251" s="4"/>
      <c r="G251" s="5"/>
      <c r="H251" s="4"/>
      <c r="I251" s="4"/>
      <c r="J251" s="4"/>
      <c r="K251" s="4"/>
      <c r="L251" s="6" t="str">
        <f aca="false">IF(AND(G251&lt;&gt;"",H251&gt;0),ROUND(G251/H251,0),"")</f>
        <v/>
      </c>
      <c r="M251" s="6" t="str">
        <f aca="false">IF(F251&lt;&gt;"",IFERROR(VLOOKUP(F251,TablaRef,2,FALSE()),"?"),"")</f>
        <v/>
      </c>
      <c r="N251" s="7" t="str">
        <f aca="false">IF(AND(L251&lt;&gt;"",M251&lt;&gt;"",ISNUMBER(M251)),IF(L251&lt;M251*(1-MargenPct),"🟢",IF(L251&gt;M251*(1+MargenPct),"🔴","🟡")),"")</f>
        <v/>
      </c>
      <c r="O251" s="8" t="str">
        <f aca="false">IF(G251&lt;&gt;"",W251+X251+Y251+Z251+AB251+AC251+AD251,"")</f>
        <v/>
      </c>
      <c r="P251" s="9" t="str">
        <f aca="false">IF(G251&lt;&gt;"",IF(O251&lt;=Presupuesto,"✓","✗"),"")</f>
        <v/>
      </c>
      <c r="Q251" s="10" t="str">
        <f aca="false">IF(G251&lt;&gt;"",Presupuesto-O251,"")</f>
        <v/>
      </c>
      <c r="R251" s="11"/>
      <c r="S251" s="11"/>
      <c r="T251" s="12"/>
      <c r="U251" s="12"/>
      <c r="V251" s="11"/>
      <c r="W251" s="13" t="str">
        <f aca="false">IF(G251&lt;&gt;"",MAX(G251-Credito,G251*0.1),"")</f>
        <v/>
      </c>
      <c r="X251" s="13" t="str">
        <f aca="false">IF(G251&lt;&gt;"",ROUND(G251*0.02*1.21,0),"")</f>
        <v/>
      </c>
      <c r="Y251" s="13" t="str">
        <f aca="false">IF(G251&lt;&gt;"",IF(G251&lt;=140000,0,ROUND(G251*0.0175,0)),"")</f>
        <v/>
      </c>
      <c r="Z251" s="13" t="str">
        <f aca="false">IF(G251&lt;&gt;"",ROUND(G251*0.004,0),"")</f>
        <v/>
      </c>
      <c r="AA251" s="14"/>
      <c r="AB251" s="13" t="str">
        <f aca="false">IF(G251&lt;&gt;"",IF(AA251="Sí",ROUND(G251*0.04*1.21,0),0),"")</f>
        <v/>
      </c>
      <c r="AC251" s="13" t="str">
        <f aca="false">IF(G251&lt;&gt;"",ROUND(G251*0.01,0),"")</f>
        <v/>
      </c>
      <c r="AD251" s="13" t="str">
        <f aca="false">IF(G251&lt;&gt;"",300,"")</f>
        <v/>
      </c>
      <c r="AE251" s="15"/>
      <c r="AF251" s="15"/>
      <c r="AG251" s="16"/>
      <c r="AH251" s="16"/>
      <c r="AI251" s="17" t="str">
        <f aca="false">IF(AND(AG251&lt;&gt;"",AH251&lt;&gt;""),(AG251+AH251)/2,"")</f>
        <v/>
      </c>
      <c r="AJ251" s="15"/>
      <c r="AK251" s="15"/>
    </row>
    <row r="252" customFormat="false" ht="15" hidden="false" customHeight="false" outlineLevel="0" collapsed="false">
      <c r="A252" s="2" t="str">
        <f aca="false">IF(E252&lt;&gt;"",ROW()-1,"")</f>
        <v/>
      </c>
      <c r="B252" s="3"/>
      <c r="C252" s="3"/>
      <c r="D252" s="3"/>
      <c r="E252" s="4"/>
      <c r="F252" s="4"/>
      <c r="G252" s="5"/>
      <c r="H252" s="4"/>
      <c r="I252" s="4"/>
      <c r="J252" s="4"/>
      <c r="K252" s="4"/>
      <c r="L252" s="6" t="str">
        <f aca="false">IF(AND(G252&lt;&gt;"",H252&gt;0),ROUND(G252/H252,0),"")</f>
        <v/>
      </c>
      <c r="M252" s="6" t="str">
        <f aca="false">IF(F252&lt;&gt;"",IFERROR(VLOOKUP(F252,TablaRef,2,FALSE()),"?"),"")</f>
        <v/>
      </c>
      <c r="N252" s="7" t="str">
        <f aca="false">IF(AND(L252&lt;&gt;"",M252&lt;&gt;"",ISNUMBER(M252)),IF(L252&lt;M252*(1-MargenPct),"🟢",IF(L252&gt;M252*(1+MargenPct),"🔴","🟡")),"")</f>
        <v/>
      </c>
      <c r="O252" s="8" t="str">
        <f aca="false">IF(G252&lt;&gt;"",W252+X252+Y252+Z252+AB252+AC252+AD252,"")</f>
        <v/>
      </c>
      <c r="P252" s="9" t="str">
        <f aca="false">IF(G252&lt;&gt;"",IF(O252&lt;=Presupuesto,"✓","✗"),"")</f>
        <v/>
      </c>
      <c r="Q252" s="10" t="str">
        <f aca="false">IF(G252&lt;&gt;"",Presupuesto-O252,"")</f>
        <v/>
      </c>
      <c r="R252" s="11"/>
      <c r="S252" s="11"/>
      <c r="T252" s="12"/>
      <c r="U252" s="12"/>
      <c r="V252" s="11"/>
      <c r="W252" s="13" t="str">
        <f aca="false">IF(G252&lt;&gt;"",MAX(G252-Credito,G252*0.1),"")</f>
        <v/>
      </c>
      <c r="X252" s="13" t="str">
        <f aca="false">IF(G252&lt;&gt;"",ROUND(G252*0.02*1.21,0),"")</f>
        <v/>
      </c>
      <c r="Y252" s="13" t="str">
        <f aca="false">IF(G252&lt;&gt;"",IF(G252&lt;=140000,0,ROUND(G252*0.0175,0)),"")</f>
        <v/>
      </c>
      <c r="Z252" s="13" t="str">
        <f aca="false">IF(G252&lt;&gt;"",ROUND(G252*0.004,0),"")</f>
        <v/>
      </c>
      <c r="AA252" s="14"/>
      <c r="AB252" s="13" t="str">
        <f aca="false">IF(G252&lt;&gt;"",IF(AA252="Sí",ROUND(G252*0.04*1.21,0),0),"")</f>
        <v/>
      </c>
      <c r="AC252" s="13" t="str">
        <f aca="false">IF(G252&lt;&gt;"",ROUND(G252*0.01,0),"")</f>
        <v/>
      </c>
      <c r="AD252" s="13" t="str">
        <f aca="false">IF(G252&lt;&gt;"",300,"")</f>
        <v/>
      </c>
      <c r="AE252" s="15"/>
      <c r="AF252" s="15"/>
      <c r="AG252" s="16"/>
      <c r="AH252" s="16"/>
      <c r="AI252" s="17" t="str">
        <f aca="false">IF(AND(AG252&lt;&gt;"",AH252&lt;&gt;""),(AG252+AH252)/2,"")</f>
        <v/>
      </c>
      <c r="AJ252" s="15"/>
      <c r="AK252" s="15"/>
    </row>
    <row r="253" customFormat="false" ht="15" hidden="false" customHeight="false" outlineLevel="0" collapsed="false">
      <c r="A253" s="2" t="str">
        <f aca="false">IF(E253&lt;&gt;"",ROW()-1,"")</f>
        <v/>
      </c>
      <c r="B253" s="3"/>
      <c r="C253" s="3"/>
      <c r="D253" s="3"/>
      <c r="E253" s="4"/>
      <c r="F253" s="4"/>
      <c r="G253" s="5"/>
      <c r="H253" s="4"/>
      <c r="I253" s="4"/>
      <c r="J253" s="4"/>
      <c r="K253" s="4"/>
      <c r="L253" s="6" t="str">
        <f aca="false">IF(AND(G253&lt;&gt;"",H253&gt;0),ROUND(G253/H253,0),"")</f>
        <v/>
      </c>
      <c r="M253" s="6" t="str">
        <f aca="false">IF(F253&lt;&gt;"",IFERROR(VLOOKUP(F253,TablaRef,2,FALSE()),"?"),"")</f>
        <v/>
      </c>
      <c r="N253" s="7" t="str">
        <f aca="false">IF(AND(L253&lt;&gt;"",M253&lt;&gt;"",ISNUMBER(M253)),IF(L253&lt;M253*(1-MargenPct),"🟢",IF(L253&gt;M253*(1+MargenPct),"🔴","🟡")),"")</f>
        <v/>
      </c>
      <c r="O253" s="8" t="str">
        <f aca="false">IF(G253&lt;&gt;"",W253+X253+Y253+Z253+AB253+AC253+AD253,"")</f>
        <v/>
      </c>
      <c r="P253" s="9" t="str">
        <f aca="false">IF(G253&lt;&gt;"",IF(O253&lt;=Presupuesto,"✓","✗"),"")</f>
        <v/>
      </c>
      <c r="Q253" s="10" t="str">
        <f aca="false">IF(G253&lt;&gt;"",Presupuesto-O253,"")</f>
        <v/>
      </c>
      <c r="R253" s="11"/>
      <c r="S253" s="11"/>
      <c r="T253" s="12"/>
      <c r="U253" s="12"/>
      <c r="V253" s="11"/>
      <c r="W253" s="13" t="str">
        <f aca="false">IF(G253&lt;&gt;"",MAX(G253-Credito,G253*0.1),"")</f>
        <v/>
      </c>
      <c r="X253" s="13" t="str">
        <f aca="false">IF(G253&lt;&gt;"",ROUND(G253*0.02*1.21,0),"")</f>
        <v/>
      </c>
      <c r="Y253" s="13" t="str">
        <f aca="false">IF(G253&lt;&gt;"",IF(G253&lt;=140000,0,ROUND(G253*0.0175,0)),"")</f>
        <v/>
      </c>
      <c r="Z253" s="13" t="str">
        <f aca="false">IF(G253&lt;&gt;"",ROUND(G253*0.004,0),"")</f>
        <v/>
      </c>
      <c r="AA253" s="14"/>
      <c r="AB253" s="13" t="str">
        <f aca="false">IF(G253&lt;&gt;"",IF(AA253="Sí",ROUND(G253*0.04*1.21,0),0),"")</f>
        <v/>
      </c>
      <c r="AC253" s="13" t="str">
        <f aca="false">IF(G253&lt;&gt;"",ROUND(G253*0.01,0),"")</f>
        <v/>
      </c>
      <c r="AD253" s="13" t="str">
        <f aca="false">IF(G253&lt;&gt;"",300,"")</f>
        <v/>
      </c>
      <c r="AE253" s="15"/>
      <c r="AF253" s="15"/>
      <c r="AG253" s="16"/>
      <c r="AH253" s="16"/>
      <c r="AI253" s="17" t="str">
        <f aca="false">IF(AND(AG253&lt;&gt;"",AH253&lt;&gt;""),(AG253+AH253)/2,"")</f>
        <v/>
      </c>
      <c r="AJ253" s="15"/>
      <c r="AK253" s="15"/>
    </row>
    <row r="254" customFormat="false" ht="15" hidden="false" customHeight="false" outlineLevel="0" collapsed="false">
      <c r="A254" s="2" t="str">
        <f aca="false">IF(E254&lt;&gt;"",ROW()-1,"")</f>
        <v/>
      </c>
      <c r="B254" s="3"/>
      <c r="C254" s="3"/>
      <c r="D254" s="3"/>
      <c r="E254" s="4"/>
      <c r="F254" s="4"/>
      <c r="G254" s="5"/>
      <c r="H254" s="4"/>
      <c r="I254" s="4"/>
      <c r="J254" s="4"/>
      <c r="K254" s="4"/>
      <c r="L254" s="6" t="str">
        <f aca="false">IF(AND(G254&lt;&gt;"",H254&gt;0),ROUND(G254/H254,0),"")</f>
        <v/>
      </c>
      <c r="M254" s="6" t="str">
        <f aca="false">IF(F254&lt;&gt;"",IFERROR(VLOOKUP(F254,TablaRef,2,FALSE()),"?"),"")</f>
        <v/>
      </c>
      <c r="N254" s="7" t="str">
        <f aca="false">IF(AND(L254&lt;&gt;"",M254&lt;&gt;"",ISNUMBER(M254)),IF(L254&lt;M254*(1-MargenPct),"🟢",IF(L254&gt;M254*(1+MargenPct),"🔴","🟡")),"")</f>
        <v/>
      </c>
      <c r="O254" s="8" t="str">
        <f aca="false">IF(G254&lt;&gt;"",W254+X254+Y254+Z254+AB254+AC254+AD254,"")</f>
        <v/>
      </c>
      <c r="P254" s="9" t="str">
        <f aca="false">IF(G254&lt;&gt;"",IF(O254&lt;=Presupuesto,"✓","✗"),"")</f>
        <v/>
      </c>
      <c r="Q254" s="10" t="str">
        <f aca="false">IF(G254&lt;&gt;"",Presupuesto-O254,"")</f>
        <v/>
      </c>
      <c r="R254" s="11"/>
      <c r="S254" s="11"/>
      <c r="T254" s="12"/>
      <c r="U254" s="12"/>
      <c r="V254" s="11"/>
      <c r="W254" s="13" t="str">
        <f aca="false">IF(G254&lt;&gt;"",MAX(G254-Credito,G254*0.1),"")</f>
        <v/>
      </c>
      <c r="X254" s="13" t="str">
        <f aca="false">IF(G254&lt;&gt;"",ROUND(G254*0.02*1.21,0),"")</f>
        <v/>
      </c>
      <c r="Y254" s="13" t="str">
        <f aca="false">IF(G254&lt;&gt;"",IF(G254&lt;=140000,0,ROUND(G254*0.0175,0)),"")</f>
        <v/>
      </c>
      <c r="Z254" s="13" t="str">
        <f aca="false">IF(G254&lt;&gt;"",ROUND(G254*0.004,0),"")</f>
        <v/>
      </c>
      <c r="AA254" s="14"/>
      <c r="AB254" s="13" t="str">
        <f aca="false">IF(G254&lt;&gt;"",IF(AA254="Sí",ROUND(G254*0.04*1.21,0),0),"")</f>
        <v/>
      </c>
      <c r="AC254" s="13" t="str">
        <f aca="false">IF(G254&lt;&gt;"",ROUND(G254*0.01,0),"")</f>
        <v/>
      </c>
      <c r="AD254" s="13" t="str">
        <f aca="false">IF(G254&lt;&gt;"",300,"")</f>
        <v/>
      </c>
      <c r="AE254" s="15"/>
      <c r="AF254" s="15"/>
      <c r="AG254" s="16"/>
      <c r="AH254" s="16"/>
      <c r="AI254" s="17" t="str">
        <f aca="false">IF(AND(AG254&lt;&gt;"",AH254&lt;&gt;""),(AG254+AH254)/2,"")</f>
        <v/>
      </c>
      <c r="AJ254" s="15"/>
      <c r="AK254" s="15"/>
    </row>
    <row r="255" customFormat="false" ht="15" hidden="false" customHeight="false" outlineLevel="0" collapsed="false">
      <c r="A255" s="2" t="str">
        <f aca="false">IF(E255&lt;&gt;"",ROW()-1,"")</f>
        <v/>
      </c>
      <c r="B255" s="3"/>
      <c r="C255" s="3"/>
      <c r="D255" s="3"/>
      <c r="E255" s="4"/>
      <c r="F255" s="4"/>
      <c r="G255" s="5"/>
      <c r="H255" s="4"/>
      <c r="I255" s="4"/>
      <c r="J255" s="4"/>
      <c r="K255" s="4"/>
      <c r="L255" s="6" t="str">
        <f aca="false">IF(AND(G255&lt;&gt;"",H255&gt;0),ROUND(G255/H255,0),"")</f>
        <v/>
      </c>
      <c r="M255" s="6" t="str">
        <f aca="false">IF(F255&lt;&gt;"",IFERROR(VLOOKUP(F255,TablaRef,2,FALSE()),"?"),"")</f>
        <v/>
      </c>
      <c r="N255" s="7" t="str">
        <f aca="false">IF(AND(L255&lt;&gt;"",M255&lt;&gt;"",ISNUMBER(M255)),IF(L255&lt;M255*(1-MargenPct),"🟢",IF(L255&gt;M255*(1+MargenPct),"🔴","🟡")),"")</f>
        <v/>
      </c>
      <c r="O255" s="8" t="str">
        <f aca="false">IF(G255&lt;&gt;"",W255+X255+Y255+Z255+AB255+AC255+AD255,"")</f>
        <v/>
      </c>
      <c r="P255" s="9" t="str">
        <f aca="false">IF(G255&lt;&gt;"",IF(O255&lt;=Presupuesto,"✓","✗"),"")</f>
        <v/>
      </c>
      <c r="Q255" s="10" t="str">
        <f aca="false">IF(G255&lt;&gt;"",Presupuesto-O255,"")</f>
        <v/>
      </c>
      <c r="R255" s="11"/>
      <c r="S255" s="11"/>
      <c r="T255" s="12"/>
      <c r="U255" s="12"/>
      <c r="V255" s="11"/>
      <c r="W255" s="13" t="str">
        <f aca="false">IF(G255&lt;&gt;"",MAX(G255-Credito,G255*0.1),"")</f>
        <v/>
      </c>
      <c r="X255" s="13" t="str">
        <f aca="false">IF(G255&lt;&gt;"",ROUND(G255*0.02*1.21,0),"")</f>
        <v/>
      </c>
      <c r="Y255" s="13" t="str">
        <f aca="false">IF(G255&lt;&gt;"",IF(G255&lt;=140000,0,ROUND(G255*0.0175,0)),"")</f>
        <v/>
      </c>
      <c r="Z255" s="13" t="str">
        <f aca="false">IF(G255&lt;&gt;"",ROUND(G255*0.004,0),"")</f>
        <v/>
      </c>
      <c r="AA255" s="14"/>
      <c r="AB255" s="13" t="str">
        <f aca="false">IF(G255&lt;&gt;"",IF(AA255="Sí",ROUND(G255*0.04*1.21,0),0),"")</f>
        <v/>
      </c>
      <c r="AC255" s="13" t="str">
        <f aca="false">IF(G255&lt;&gt;"",ROUND(G255*0.01,0),"")</f>
        <v/>
      </c>
      <c r="AD255" s="13" t="str">
        <f aca="false">IF(G255&lt;&gt;"",300,"")</f>
        <v/>
      </c>
      <c r="AE255" s="15"/>
      <c r="AF255" s="15"/>
      <c r="AG255" s="16"/>
      <c r="AH255" s="16"/>
      <c r="AI255" s="17" t="str">
        <f aca="false">IF(AND(AG255&lt;&gt;"",AH255&lt;&gt;""),(AG255+AH255)/2,"")</f>
        <v/>
      </c>
      <c r="AJ255" s="15"/>
      <c r="AK255" s="15"/>
    </row>
    <row r="256" customFormat="false" ht="15" hidden="false" customHeight="false" outlineLevel="0" collapsed="false">
      <c r="A256" s="2" t="str">
        <f aca="false">IF(E256&lt;&gt;"",ROW()-1,"")</f>
        <v/>
      </c>
      <c r="B256" s="3"/>
      <c r="C256" s="3"/>
      <c r="D256" s="3"/>
      <c r="E256" s="4"/>
      <c r="F256" s="4"/>
      <c r="G256" s="5"/>
      <c r="H256" s="4"/>
      <c r="I256" s="4"/>
      <c r="J256" s="4"/>
      <c r="K256" s="4"/>
      <c r="L256" s="6" t="str">
        <f aca="false">IF(AND(G256&lt;&gt;"",H256&gt;0),ROUND(G256/H256,0),"")</f>
        <v/>
      </c>
      <c r="M256" s="6" t="str">
        <f aca="false">IF(F256&lt;&gt;"",IFERROR(VLOOKUP(F256,TablaRef,2,FALSE()),"?"),"")</f>
        <v/>
      </c>
      <c r="N256" s="7" t="str">
        <f aca="false">IF(AND(L256&lt;&gt;"",M256&lt;&gt;"",ISNUMBER(M256)),IF(L256&lt;M256*(1-MargenPct),"🟢",IF(L256&gt;M256*(1+MargenPct),"🔴","🟡")),"")</f>
        <v/>
      </c>
      <c r="O256" s="8" t="str">
        <f aca="false">IF(G256&lt;&gt;"",W256+X256+Y256+Z256+AB256+AC256+AD256,"")</f>
        <v/>
      </c>
      <c r="P256" s="9" t="str">
        <f aca="false">IF(G256&lt;&gt;"",IF(O256&lt;=Presupuesto,"✓","✗"),"")</f>
        <v/>
      </c>
      <c r="Q256" s="10" t="str">
        <f aca="false">IF(G256&lt;&gt;"",Presupuesto-O256,"")</f>
        <v/>
      </c>
      <c r="R256" s="11"/>
      <c r="S256" s="11"/>
      <c r="T256" s="12"/>
      <c r="U256" s="12"/>
      <c r="V256" s="11"/>
      <c r="W256" s="13" t="str">
        <f aca="false">IF(G256&lt;&gt;"",MAX(G256-Credito,G256*0.1),"")</f>
        <v/>
      </c>
      <c r="X256" s="13" t="str">
        <f aca="false">IF(G256&lt;&gt;"",ROUND(G256*0.02*1.21,0),"")</f>
        <v/>
      </c>
      <c r="Y256" s="13" t="str">
        <f aca="false">IF(G256&lt;&gt;"",IF(G256&lt;=140000,0,ROUND(G256*0.0175,0)),"")</f>
        <v/>
      </c>
      <c r="Z256" s="13" t="str">
        <f aca="false">IF(G256&lt;&gt;"",ROUND(G256*0.004,0),"")</f>
        <v/>
      </c>
      <c r="AA256" s="14"/>
      <c r="AB256" s="13" t="str">
        <f aca="false">IF(G256&lt;&gt;"",IF(AA256="Sí",ROUND(G256*0.04*1.21,0),0),"")</f>
        <v/>
      </c>
      <c r="AC256" s="13" t="str">
        <f aca="false">IF(G256&lt;&gt;"",ROUND(G256*0.01,0),"")</f>
        <v/>
      </c>
      <c r="AD256" s="13" t="str">
        <f aca="false">IF(G256&lt;&gt;"",300,"")</f>
        <v/>
      </c>
      <c r="AE256" s="15"/>
      <c r="AF256" s="15"/>
      <c r="AG256" s="16"/>
      <c r="AH256" s="16"/>
      <c r="AI256" s="17" t="str">
        <f aca="false">IF(AND(AG256&lt;&gt;"",AH256&lt;&gt;""),(AG256+AH256)/2,"")</f>
        <v/>
      </c>
      <c r="AJ256" s="15"/>
      <c r="AK256" s="15"/>
    </row>
    <row r="257" customFormat="false" ht="15" hidden="false" customHeight="false" outlineLevel="0" collapsed="false">
      <c r="A257" s="2" t="str">
        <f aca="false">IF(E257&lt;&gt;"",ROW()-1,"")</f>
        <v/>
      </c>
      <c r="B257" s="3"/>
      <c r="C257" s="3"/>
      <c r="D257" s="3"/>
      <c r="E257" s="4"/>
      <c r="F257" s="4"/>
      <c r="G257" s="5"/>
      <c r="H257" s="4"/>
      <c r="I257" s="4"/>
      <c r="J257" s="4"/>
      <c r="K257" s="4"/>
      <c r="L257" s="6" t="str">
        <f aca="false">IF(AND(G257&lt;&gt;"",H257&gt;0),ROUND(G257/H257,0),"")</f>
        <v/>
      </c>
      <c r="M257" s="6" t="str">
        <f aca="false">IF(F257&lt;&gt;"",IFERROR(VLOOKUP(F257,TablaRef,2,FALSE()),"?"),"")</f>
        <v/>
      </c>
      <c r="N257" s="7" t="str">
        <f aca="false">IF(AND(L257&lt;&gt;"",M257&lt;&gt;"",ISNUMBER(M257)),IF(L257&lt;M257*(1-MargenPct),"🟢",IF(L257&gt;M257*(1+MargenPct),"🔴","🟡")),"")</f>
        <v/>
      </c>
      <c r="O257" s="8" t="str">
        <f aca="false">IF(G257&lt;&gt;"",W257+X257+Y257+Z257+AB257+AC257+AD257,"")</f>
        <v/>
      </c>
      <c r="P257" s="9" t="str">
        <f aca="false">IF(G257&lt;&gt;"",IF(O257&lt;=Presupuesto,"✓","✗"),"")</f>
        <v/>
      </c>
      <c r="Q257" s="10" t="str">
        <f aca="false">IF(G257&lt;&gt;"",Presupuesto-O257,"")</f>
        <v/>
      </c>
      <c r="R257" s="11"/>
      <c r="S257" s="11"/>
      <c r="T257" s="12"/>
      <c r="U257" s="12"/>
      <c r="V257" s="11"/>
      <c r="W257" s="13" t="str">
        <f aca="false">IF(G257&lt;&gt;"",MAX(G257-Credito,G257*0.1),"")</f>
        <v/>
      </c>
      <c r="X257" s="13" t="str">
        <f aca="false">IF(G257&lt;&gt;"",ROUND(G257*0.02*1.21,0),"")</f>
        <v/>
      </c>
      <c r="Y257" s="13" t="str">
        <f aca="false">IF(G257&lt;&gt;"",IF(G257&lt;=140000,0,ROUND(G257*0.0175,0)),"")</f>
        <v/>
      </c>
      <c r="Z257" s="13" t="str">
        <f aca="false">IF(G257&lt;&gt;"",ROUND(G257*0.004,0),"")</f>
        <v/>
      </c>
      <c r="AA257" s="14"/>
      <c r="AB257" s="13" t="str">
        <f aca="false">IF(G257&lt;&gt;"",IF(AA257="Sí",ROUND(G257*0.04*1.21,0),0),"")</f>
        <v/>
      </c>
      <c r="AC257" s="13" t="str">
        <f aca="false">IF(G257&lt;&gt;"",ROUND(G257*0.01,0),"")</f>
        <v/>
      </c>
      <c r="AD257" s="13" t="str">
        <f aca="false">IF(G257&lt;&gt;"",300,"")</f>
        <v/>
      </c>
      <c r="AE257" s="15"/>
      <c r="AF257" s="15"/>
      <c r="AG257" s="16"/>
      <c r="AH257" s="16"/>
      <c r="AI257" s="17" t="str">
        <f aca="false">IF(AND(AG257&lt;&gt;"",AH257&lt;&gt;""),(AG257+AH257)/2,"")</f>
        <v/>
      </c>
      <c r="AJ257" s="15"/>
      <c r="AK257" s="15"/>
    </row>
    <row r="258" customFormat="false" ht="15" hidden="false" customHeight="false" outlineLevel="0" collapsed="false">
      <c r="A258" s="2" t="str">
        <f aca="false">IF(E258&lt;&gt;"",ROW()-1,"")</f>
        <v/>
      </c>
      <c r="B258" s="3"/>
      <c r="C258" s="3"/>
      <c r="D258" s="3"/>
      <c r="E258" s="4"/>
      <c r="F258" s="4"/>
      <c r="G258" s="5"/>
      <c r="H258" s="4"/>
      <c r="I258" s="4"/>
      <c r="J258" s="4"/>
      <c r="K258" s="4"/>
      <c r="L258" s="6" t="str">
        <f aca="false">IF(AND(G258&lt;&gt;"",H258&gt;0),ROUND(G258/H258,0),"")</f>
        <v/>
      </c>
      <c r="M258" s="6" t="str">
        <f aca="false">IF(F258&lt;&gt;"",IFERROR(VLOOKUP(F258,TablaRef,2,FALSE()),"?"),"")</f>
        <v/>
      </c>
      <c r="N258" s="7" t="str">
        <f aca="false">IF(AND(L258&lt;&gt;"",M258&lt;&gt;"",ISNUMBER(M258)),IF(L258&lt;M258*(1-MargenPct),"🟢",IF(L258&gt;M258*(1+MargenPct),"🔴","🟡")),"")</f>
        <v/>
      </c>
      <c r="O258" s="8" t="str">
        <f aca="false">IF(G258&lt;&gt;"",W258+X258+Y258+Z258+AB258+AC258+AD258,"")</f>
        <v/>
      </c>
      <c r="P258" s="9" t="str">
        <f aca="false">IF(G258&lt;&gt;"",IF(O258&lt;=Presupuesto,"✓","✗"),"")</f>
        <v/>
      </c>
      <c r="Q258" s="10" t="str">
        <f aca="false">IF(G258&lt;&gt;"",Presupuesto-O258,"")</f>
        <v/>
      </c>
      <c r="R258" s="11"/>
      <c r="S258" s="11"/>
      <c r="T258" s="12"/>
      <c r="U258" s="12"/>
      <c r="V258" s="11"/>
      <c r="W258" s="13" t="str">
        <f aca="false">IF(G258&lt;&gt;"",MAX(G258-Credito,G258*0.1),"")</f>
        <v/>
      </c>
      <c r="X258" s="13" t="str">
        <f aca="false">IF(G258&lt;&gt;"",ROUND(G258*0.02*1.21,0),"")</f>
        <v/>
      </c>
      <c r="Y258" s="13" t="str">
        <f aca="false">IF(G258&lt;&gt;"",IF(G258&lt;=140000,0,ROUND(G258*0.0175,0)),"")</f>
        <v/>
      </c>
      <c r="Z258" s="13" t="str">
        <f aca="false">IF(G258&lt;&gt;"",ROUND(G258*0.004,0),"")</f>
        <v/>
      </c>
      <c r="AA258" s="14"/>
      <c r="AB258" s="13" t="str">
        <f aca="false">IF(G258&lt;&gt;"",IF(AA258="Sí",ROUND(G258*0.04*1.21,0),0),"")</f>
        <v/>
      </c>
      <c r="AC258" s="13" t="str">
        <f aca="false">IF(G258&lt;&gt;"",ROUND(G258*0.01,0),"")</f>
        <v/>
      </c>
      <c r="AD258" s="13" t="str">
        <f aca="false">IF(G258&lt;&gt;"",300,"")</f>
        <v/>
      </c>
      <c r="AE258" s="15"/>
      <c r="AF258" s="15"/>
      <c r="AG258" s="16"/>
      <c r="AH258" s="16"/>
      <c r="AI258" s="17" t="str">
        <f aca="false">IF(AND(AG258&lt;&gt;"",AH258&lt;&gt;""),(AG258+AH258)/2,"")</f>
        <v/>
      </c>
      <c r="AJ258" s="15"/>
      <c r="AK258" s="15"/>
    </row>
    <row r="259" customFormat="false" ht="15" hidden="false" customHeight="false" outlineLevel="0" collapsed="false">
      <c r="A259" s="2" t="str">
        <f aca="false">IF(E259&lt;&gt;"",ROW()-1,"")</f>
        <v/>
      </c>
      <c r="B259" s="3"/>
      <c r="C259" s="3"/>
      <c r="D259" s="3"/>
      <c r="E259" s="4"/>
      <c r="F259" s="4"/>
      <c r="G259" s="5"/>
      <c r="H259" s="4"/>
      <c r="I259" s="4"/>
      <c r="J259" s="4"/>
      <c r="K259" s="4"/>
      <c r="L259" s="6" t="str">
        <f aca="false">IF(AND(G259&lt;&gt;"",H259&gt;0),ROUND(G259/H259,0),"")</f>
        <v/>
      </c>
      <c r="M259" s="6" t="str">
        <f aca="false">IF(F259&lt;&gt;"",IFERROR(VLOOKUP(F259,TablaRef,2,FALSE()),"?"),"")</f>
        <v/>
      </c>
      <c r="N259" s="7" t="str">
        <f aca="false">IF(AND(L259&lt;&gt;"",M259&lt;&gt;"",ISNUMBER(M259)),IF(L259&lt;M259*(1-MargenPct),"🟢",IF(L259&gt;M259*(1+MargenPct),"🔴","🟡")),"")</f>
        <v/>
      </c>
      <c r="O259" s="8" t="str">
        <f aca="false">IF(G259&lt;&gt;"",W259+X259+Y259+Z259+AB259+AC259+AD259,"")</f>
        <v/>
      </c>
      <c r="P259" s="9" t="str">
        <f aca="false">IF(G259&lt;&gt;"",IF(O259&lt;=Presupuesto,"✓","✗"),"")</f>
        <v/>
      </c>
      <c r="Q259" s="10" t="str">
        <f aca="false">IF(G259&lt;&gt;"",Presupuesto-O259,"")</f>
        <v/>
      </c>
      <c r="R259" s="11"/>
      <c r="S259" s="11"/>
      <c r="T259" s="12"/>
      <c r="U259" s="12"/>
      <c r="V259" s="11"/>
      <c r="W259" s="13" t="str">
        <f aca="false">IF(G259&lt;&gt;"",MAX(G259-Credito,G259*0.1),"")</f>
        <v/>
      </c>
      <c r="X259" s="13" t="str">
        <f aca="false">IF(G259&lt;&gt;"",ROUND(G259*0.02*1.21,0),"")</f>
        <v/>
      </c>
      <c r="Y259" s="13" t="str">
        <f aca="false">IF(G259&lt;&gt;"",IF(G259&lt;=140000,0,ROUND(G259*0.0175,0)),"")</f>
        <v/>
      </c>
      <c r="Z259" s="13" t="str">
        <f aca="false">IF(G259&lt;&gt;"",ROUND(G259*0.004,0),"")</f>
        <v/>
      </c>
      <c r="AA259" s="14"/>
      <c r="AB259" s="13" t="str">
        <f aca="false">IF(G259&lt;&gt;"",IF(AA259="Sí",ROUND(G259*0.04*1.21,0),0),"")</f>
        <v/>
      </c>
      <c r="AC259" s="13" t="str">
        <f aca="false">IF(G259&lt;&gt;"",ROUND(G259*0.01,0),"")</f>
        <v/>
      </c>
      <c r="AD259" s="13" t="str">
        <f aca="false">IF(G259&lt;&gt;"",300,"")</f>
        <v/>
      </c>
      <c r="AE259" s="15"/>
      <c r="AF259" s="15"/>
      <c r="AG259" s="16"/>
      <c r="AH259" s="16"/>
      <c r="AI259" s="17" t="str">
        <f aca="false">IF(AND(AG259&lt;&gt;"",AH259&lt;&gt;""),(AG259+AH259)/2,"")</f>
        <v/>
      </c>
      <c r="AJ259" s="15"/>
      <c r="AK259" s="15"/>
    </row>
    <row r="260" customFormat="false" ht="15" hidden="false" customHeight="false" outlineLevel="0" collapsed="false">
      <c r="A260" s="2" t="str">
        <f aca="false">IF(E260&lt;&gt;"",ROW()-1,"")</f>
        <v/>
      </c>
      <c r="B260" s="3"/>
      <c r="C260" s="3"/>
      <c r="D260" s="3"/>
      <c r="E260" s="4"/>
      <c r="F260" s="4"/>
      <c r="G260" s="5"/>
      <c r="H260" s="4"/>
      <c r="I260" s="4"/>
      <c r="J260" s="4"/>
      <c r="K260" s="4"/>
      <c r="L260" s="6" t="str">
        <f aca="false">IF(AND(G260&lt;&gt;"",H260&gt;0),ROUND(G260/H260,0),"")</f>
        <v/>
      </c>
      <c r="M260" s="6" t="str">
        <f aca="false">IF(F260&lt;&gt;"",IFERROR(VLOOKUP(F260,TablaRef,2,FALSE()),"?"),"")</f>
        <v/>
      </c>
      <c r="N260" s="7" t="str">
        <f aca="false">IF(AND(L260&lt;&gt;"",M260&lt;&gt;"",ISNUMBER(M260)),IF(L260&lt;M260*(1-MargenPct),"🟢",IF(L260&gt;M260*(1+MargenPct),"🔴","🟡")),"")</f>
        <v/>
      </c>
      <c r="O260" s="8" t="str">
        <f aca="false">IF(G260&lt;&gt;"",W260+X260+Y260+Z260+AB260+AC260+AD260,"")</f>
        <v/>
      </c>
      <c r="P260" s="9" t="str">
        <f aca="false">IF(G260&lt;&gt;"",IF(O260&lt;=Presupuesto,"✓","✗"),"")</f>
        <v/>
      </c>
      <c r="Q260" s="10" t="str">
        <f aca="false">IF(G260&lt;&gt;"",Presupuesto-O260,"")</f>
        <v/>
      </c>
      <c r="R260" s="11"/>
      <c r="S260" s="11"/>
      <c r="T260" s="12"/>
      <c r="U260" s="12"/>
      <c r="V260" s="11"/>
      <c r="W260" s="13" t="str">
        <f aca="false">IF(G260&lt;&gt;"",MAX(G260-Credito,G260*0.1),"")</f>
        <v/>
      </c>
      <c r="X260" s="13" t="str">
        <f aca="false">IF(G260&lt;&gt;"",ROUND(G260*0.02*1.21,0),"")</f>
        <v/>
      </c>
      <c r="Y260" s="13" t="str">
        <f aca="false">IF(G260&lt;&gt;"",IF(G260&lt;=140000,0,ROUND(G260*0.0175,0)),"")</f>
        <v/>
      </c>
      <c r="Z260" s="13" t="str">
        <f aca="false">IF(G260&lt;&gt;"",ROUND(G260*0.004,0),"")</f>
        <v/>
      </c>
      <c r="AA260" s="14"/>
      <c r="AB260" s="13" t="str">
        <f aca="false">IF(G260&lt;&gt;"",IF(AA260="Sí",ROUND(G260*0.04*1.21,0),0),"")</f>
        <v/>
      </c>
      <c r="AC260" s="13" t="str">
        <f aca="false">IF(G260&lt;&gt;"",ROUND(G260*0.01,0),"")</f>
        <v/>
      </c>
      <c r="AD260" s="13" t="str">
        <f aca="false">IF(G260&lt;&gt;"",300,"")</f>
        <v/>
      </c>
      <c r="AE260" s="15"/>
      <c r="AF260" s="15"/>
      <c r="AG260" s="16"/>
      <c r="AH260" s="16"/>
      <c r="AI260" s="17" t="str">
        <f aca="false">IF(AND(AG260&lt;&gt;"",AH260&lt;&gt;""),(AG260+AH260)/2,"")</f>
        <v/>
      </c>
      <c r="AJ260" s="15"/>
      <c r="AK260" s="15"/>
    </row>
    <row r="261" customFormat="false" ht="15" hidden="false" customHeight="false" outlineLevel="0" collapsed="false">
      <c r="A261" s="2" t="str">
        <f aca="false">IF(E261&lt;&gt;"",ROW()-1,"")</f>
        <v/>
      </c>
      <c r="B261" s="3"/>
      <c r="C261" s="3"/>
      <c r="D261" s="3"/>
      <c r="E261" s="4"/>
      <c r="F261" s="4"/>
      <c r="G261" s="5"/>
      <c r="H261" s="4"/>
      <c r="I261" s="4"/>
      <c r="J261" s="4"/>
      <c r="K261" s="4"/>
      <c r="L261" s="6" t="str">
        <f aca="false">IF(AND(G261&lt;&gt;"",H261&gt;0),ROUND(G261/H261,0),"")</f>
        <v/>
      </c>
      <c r="M261" s="6" t="str">
        <f aca="false">IF(F261&lt;&gt;"",IFERROR(VLOOKUP(F261,TablaRef,2,FALSE()),"?"),"")</f>
        <v/>
      </c>
      <c r="N261" s="7" t="str">
        <f aca="false">IF(AND(L261&lt;&gt;"",M261&lt;&gt;"",ISNUMBER(M261)),IF(L261&lt;M261*(1-MargenPct),"🟢",IF(L261&gt;M261*(1+MargenPct),"🔴","🟡")),"")</f>
        <v/>
      </c>
      <c r="O261" s="8" t="str">
        <f aca="false">IF(G261&lt;&gt;"",W261+X261+Y261+Z261+AB261+AC261+AD261,"")</f>
        <v/>
      </c>
      <c r="P261" s="9" t="str">
        <f aca="false">IF(G261&lt;&gt;"",IF(O261&lt;=Presupuesto,"✓","✗"),"")</f>
        <v/>
      </c>
      <c r="Q261" s="10" t="str">
        <f aca="false">IF(G261&lt;&gt;"",Presupuesto-O261,"")</f>
        <v/>
      </c>
      <c r="R261" s="11"/>
      <c r="S261" s="11"/>
      <c r="T261" s="12"/>
      <c r="U261" s="12"/>
      <c r="V261" s="11"/>
      <c r="W261" s="13" t="str">
        <f aca="false">IF(G261&lt;&gt;"",MAX(G261-Credito,G261*0.1),"")</f>
        <v/>
      </c>
      <c r="X261" s="13" t="str">
        <f aca="false">IF(G261&lt;&gt;"",ROUND(G261*0.02*1.21,0),"")</f>
        <v/>
      </c>
      <c r="Y261" s="13" t="str">
        <f aca="false">IF(G261&lt;&gt;"",IF(G261&lt;=140000,0,ROUND(G261*0.0175,0)),"")</f>
        <v/>
      </c>
      <c r="Z261" s="13" t="str">
        <f aca="false">IF(G261&lt;&gt;"",ROUND(G261*0.004,0),"")</f>
        <v/>
      </c>
      <c r="AA261" s="14"/>
      <c r="AB261" s="13" t="str">
        <f aca="false">IF(G261&lt;&gt;"",IF(AA261="Sí",ROUND(G261*0.04*1.21,0),0),"")</f>
        <v/>
      </c>
      <c r="AC261" s="13" t="str">
        <f aca="false">IF(G261&lt;&gt;"",ROUND(G261*0.01,0),"")</f>
        <v/>
      </c>
      <c r="AD261" s="13" t="str">
        <f aca="false">IF(G261&lt;&gt;"",300,"")</f>
        <v/>
      </c>
      <c r="AE261" s="15"/>
      <c r="AF261" s="15"/>
      <c r="AG261" s="16"/>
      <c r="AH261" s="16"/>
      <c r="AI261" s="17" t="str">
        <f aca="false">IF(AND(AG261&lt;&gt;"",AH261&lt;&gt;""),(AG261+AH261)/2,"")</f>
        <v/>
      </c>
      <c r="AJ261" s="15"/>
      <c r="AK261" s="15"/>
    </row>
    <row r="262" customFormat="false" ht="15" hidden="false" customHeight="false" outlineLevel="0" collapsed="false">
      <c r="A262" s="2" t="str">
        <f aca="false">IF(E262&lt;&gt;"",ROW()-1,"")</f>
        <v/>
      </c>
      <c r="B262" s="3"/>
      <c r="C262" s="3"/>
      <c r="D262" s="3"/>
      <c r="E262" s="4"/>
      <c r="F262" s="4"/>
      <c r="G262" s="5"/>
      <c r="H262" s="4"/>
      <c r="I262" s="4"/>
      <c r="J262" s="4"/>
      <c r="K262" s="4"/>
      <c r="L262" s="6" t="str">
        <f aca="false">IF(AND(G262&lt;&gt;"",H262&gt;0),ROUND(G262/H262,0),"")</f>
        <v/>
      </c>
      <c r="M262" s="6" t="str">
        <f aca="false">IF(F262&lt;&gt;"",IFERROR(VLOOKUP(F262,TablaRef,2,FALSE()),"?"),"")</f>
        <v/>
      </c>
      <c r="N262" s="7" t="str">
        <f aca="false">IF(AND(L262&lt;&gt;"",M262&lt;&gt;"",ISNUMBER(M262)),IF(L262&lt;M262*(1-MargenPct),"🟢",IF(L262&gt;M262*(1+MargenPct),"🔴","🟡")),"")</f>
        <v/>
      </c>
      <c r="O262" s="8" t="str">
        <f aca="false">IF(G262&lt;&gt;"",W262+X262+Y262+Z262+AB262+AC262+AD262,"")</f>
        <v/>
      </c>
      <c r="P262" s="9" t="str">
        <f aca="false">IF(G262&lt;&gt;"",IF(O262&lt;=Presupuesto,"✓","✗"),"")</f>
        <v/>
      </c>
      <c r="Q262" s="10" t="str">
        <f aca="false">IF(G262&lt;&gt;"",Presupuesto-O262,"")</f>
        <v/>
      </c>
      <c r="R262" s="11"/>
      <c r="S262" s="11"/>
      <c r="T262" s="12"/>
      <c r="U262" s="12"/>
      <c r="V262" s="11"/>
      <c r="W262" s="13" t="str">
        <f aca="false">IF(G262&lt;&gt;"",MAX(G262-Credito,G262*0.1),"")</f>
        <v/>
      </c>
      <c r="X262" s="13" t="str">
        <f aca="false">IF(G262&lt;&gt;"",ROUND(G262*0.02*1.21,0),"")</f>
        <v/>
      </c>
      <c r="Y262" s="13" t="str">
        <f aca="false">IF(G262&lt;&gt;"",IF(G262&lt;=140000,0,ROUND(G262*0.0175,0)),"")</f>
        <v/>
      </c>
      <c r="Z262" s="13" t="str">
        <f aca="false">IF(G262&lt;&gt;"",ROUND(G262*0.004,0),"")</f>
        <v/>
      </c>
      <c r="AA262" s="14"/>
      <c r="AB262" s="13" t="str">
        <f aca="false">IF(G262&lt;&gt;"",IF(AA262="Sí",ROUND(G262*0.04*1.21,0),0),"")</f>
        <v/>
      </c>
      <c r="AC262" s="13" t="str">
        <f aca="false">IF(G262&lt;&gt;"",ROUND(G262*0.01,0),"")</f>
        <v/>
      </c>
      <c r="AD262" s="13" t="str">
        <f aca="false">IF(G262&lt;&gt;"",300,"")</f>
        <v/>
      </c>
      <c r="AE262" s="15"/>
      <c r="AF262" s="15"/>
      <c r="AG262" s="16"/>
      <c r="AH262" s="16"/>
      <c r="AI262" s="17" t="str">
        <f aca="false">IF(AND(AG262&lt;&gt;"",AH262&lt;&gt;""),(AG262+AH262)/2,"")</f>
        <v/>
      </c>
      <c r="AJ262" s="15"/>
      <c r="AK262" s="15"/>
    </row>
    <row r="263" customFormat="false" ht="15" hidden="false" customHeight="false" outlineLevel="0" collapsed="false">
      <c r="A263" s="2" t="str">
        <f aca="false">IF(E263&lt;&gt;"",ROW()-1,"")</f>
        <v/>
      </c>
      <c r="B263" s="3"/>
      <c r="C263" s="3"/>
      <c r="D263" s="3"/>
      <c r="E263" s="4"/>
      <c r="F263" s="4"/>
      <c r="G263" s="5"/>
      <c r="H263" s="4"/>
      <c r="I263" s="4"/>
      <c r="J263" s="4"/>
      <c r="K263" s="4"/>
      <c r="L263" s="6" t="str">
        <f aca="false">IF(AND(G263&lt;&gt;"",H263&gt;0),ROUND(G263/H263,0),"")</f>
        <v/>
      </c>
      <c r="M263" s="6" t="str">
        <f aca="false">IF(F263&lt;&gt;"",IFERROR(VLOOKUP(F263,TablaRef,2,FALSE()),"?"),"")</f>
        <v/>
      </c>
      <c r="N263" s="7" t="str">
        <f aca="false">IF(AND(L263&lt;&gt;"",M263&lt;&gt;"",ISNUMBER(M263)),IF(L263&lt;M263*(1-MargenPct),"🟢",IF(L263&gt;M263*(1+MargenPct),"🔴","🟡")),"")</f>
        <v/>
      </c>
      <c r="O263" s="8" t="str">
        <f aca="false">IF(G263&lt;&gt;"",W263+X263+Y263+Z263+AB263+AC263+AD263,"")</f>
        <v/>
      </c>
      <c r="P263" s="9" t="str">
        <f aca="false">IF(G263&lt;&gt;"",IF(O263&lt;=Presupuesto,"✓","✗"),"")</f>
        <v/>
      </c>
      <c r="Q263" s="10" t="str">
        <f aca="false">IF(G263&lt;&gt;"",Presupuesto-O263,"")</f>
        <v/>
      </c>
      <c r="R263" s="11"/>
      <c r="S263" s="11"/>
      <c r="T263" s="12"/>
      <c r="U263" s="12"/>
      <c r="V263" s="11"/>
      <c r="W263" s="13" t="str">
        <f aca="false">IF(G263&lt;&gt;"",MAX(G263-Credito,G263*0.1),"")</f>
        <v/>
      </c>
      <c r="X263" s="13" t="str">
        <f aca="false">IF(G263&lt;&gt;"",ROUND(G263*0.02*1.21,0),"")</f>
        <v/>
      </c>
      <c r="Y263" s="13" t="str">
        <f aca="false">IF(G263&lt;&gt;"",IF(G263&lt;=140000,0,ROUND(G263*0.0175,0)),"")</f>
        <v/>
      </c>
      <c r="Z263" s="13" t="str">
        <f aca="false">IF(G263&lt;&gt;"",ROUND(G263*0.004,0),"")</f>
        <v/>
      </c>
      <c r="AA263" s="14"/>
      <c r="AB263" s="13" t="str">
        <f aca="false">IF(G263&lt;&gt;"",IF(AA263="Sí",ROUND(G263*0.04*1.21,0),0),"")</f>
        <v/>
      </c>
      <c r="AC263" s="13" t="str">
        <f aca="false">IF(G263&lt;&gt;"",ROUND(G263*0.01,0),"")</f>
        <v/>
      </c>
      <c r="AD263" s="13" t="str">
        <f aca="false">IF(G263&lt;&gt;"",300,"")</f>
        <v/>
      </c>
      <c r="AE263" s="15"/>
      <c r="AF263" s="15"/>
      <c r="AG263" s="16"/>
      <c r="AH263" s="16"/>
      <c r="AI263" s="17" t="str">
        <f aca="false">IF(AND(AG263&lt;&gt;"",AH263&lt;&gt;""),(AG263+AH263)/2,"")</f>
        <v/>
      </c>
      <c r="AJ263" s="15"/>
      <c r="AK263" s="15"/>
    </row>
    <row r="264" customFormat="false" ht="15" hidden="false" customHeight="false" outlineLevel="0" collapsed="false">
      <c r="A264" s="2" t="str">
        <f aca="false">IF(E264&lt;&gt;"",ROW()-1,"")</f>
        <v/>
      </c>
      <c r="B264" s="3"/>
      <c r="C264" s="3"/>
      <c r="D264" s="3"/>
      <c r="E264" s="4"/>
      <c r="F264" s="4"/>
      <c r="G264" s="5"/>
      <c r="H264" s="4"/>
      <c r="I264" s="4"/>
      <c r="J264" s="4"/>
      <c r="K264" s="4"/>
      <c r="L264" s="6" t="str">
        <f aca="false">IF(AND(G264&lt;&gt;"",H264&gt;0),ROUND(G264/H264,0),"")</f>
        <v/>
      </c>
      <c r="M264" s="6" t="str">
        <f aca="false">IF(F264&lt;&gt;"",IFERROR(VLOOKUP(F264,TablaRef,2,FALSE()),"?"),"")</f>
        <v/>
      </c>
      <c r="N264" s="7" t="str">
        <f aca="false">IF(AND(L264&lt;&gt;"",M264&lt;&gt;"",ISNUMBER(M264)),IF(L264&lt;M264*(1-MargenPct),"🟢",IF(L264&gt;M264*(1+MargenPct),"🔴","🟡")),"")</f>
        <v/>
      </c>
      <c r="O264" s="8" t="str">
        <f aca="false">IF(G264&lt;&gt;"",W264+X264+Y264+Z264+AB264+AC264+AD264,"")</f>
        <v/>
      </c>
      <c r="P264" s="9" t="str">
        <f aca="false">IF(G264&lt;&gt;"",IF(O264&lt;=Presupuesto,"✓","✗"),"")</f>
        <v/>
      </c>
      <c r="Q264" s="10" t="str">
        <f aca="false">IF(G264&lt;&gt;"",Presupuesto-O264,"")</f>
        <v/>
      </c>
      <c r="R264" s="11"/>
      <c r="S264" s="11"/>
      <c r="T264" s="12"/>
      <c r="U264" s="12"/>
      <c r="V264" s="11"/>
      <c r="W264" s="13" t="str">
        <f aca="false">IF(G264&lt;&gt;"",MAX(G264-Credito,G264*0.1),"")</f>
        <v/>
      </c>
      <c r="X264" s="13" t="str">
        <f aca="false">IF(G264&lt;&gt;"",ROUND(G264*0.02*1.21,0),"")</f>
        <v/>
      </c>
      <c r="Y264" s="13" t="str">
        <f aca="false">IF(G264&lt;&gt;"",IF(G264&lt;=140000,0,ROUND(G264*0.0175,0)),"")</f>
        <v/>
      </c>
      <c r="Z264" s="13" t="str">
        <f aca="false">IF(G264&lt;&gt;"",ROUND(G264*0.004,0),"")</f>
        <v/>
      </c>
      <c r="AA264" s="14"/>
      <c r="AB264" s="13" t="str">
        <f aca="false">IF(G264&lt;&gt;"",IF(AA264="Sí",ROUND(G264*0.04*1.21,0),0),"")</f>
        <v/>
      </c>
      <c r="AC264" s="13" t="str">
        <f aca="false">IF(G264&lt;&gt;"",ROUND(G264*0.01,0),"")</f>
        <v/>
      </c>
      <c r="AD264" s="13" t="str">
        <f aca="false">IF(G264&lt;&gt;"",300,"")</f>
        <v/>
      </c>
      <c r="AE264" s="15"/>
      <c r="AF264" s="15"/>
      <c r="AG264" s="16"/>
      <c r="AH264" s="16"/>
      <c r="AI264" s="17" t="str">
        <f aca="false">IF(AND(AG264&lt;&gt;"",AH264&lt;&gt;""),(AG264+AH264)/2,"")</f>
        <v/>
      </c>
      <c r="AJ264" s="15"/>
      <c r="AK264" s="15"/>
    </row>
    <row r="265" customFormat="false" ht="15" hidden="false" customHeight="false" outlineLevel="0" collapsed="false">
      <c r="A265" s="2" t="str">
        <f aca="false">IF(E265&lt;&gt;"",ROW()-1,"")</f>
        <v/>
      </c>
      <c r="B265" s="3"/>
      <c r="C265" s="3"/>
      <c r="D265" s="3"/>
      <c r="E265" s="4"/>
      <c r="F265" s="4"/>
      <c r="G265" s="5"/>
      <c r="H265" s="4"/>
      <c r="I265" s="4"/>
      <c r="J265" s="4"/>
      <c r="K265" s="4"/>
      <c r="L265" s="6" t="str">
        <f aca="false">IF(AND(G265&lt;&gt;"",H265&gt;0),ROUND(G265/H265,0),"")</f>
        <v/>
      </c>
      <c r="M265" s="6" t="str">
        <f aca="false">IF(F265&lt;&gt;"",IFERROR(VLOOKUP(F265,TablaRef,2,FALSE()),"?"),"")</f>
        <v/>
      </c>
      <c r="N265" s="7" t="str">
        <f aca="false">IF(AND(L265&lt;&gt;"",M265&lt;&gt;"",ISNUMBER(M265)),IF(L265&lt;M265*(1-MargenPct),"🟢",IF(L265&gt;M265*(1+MargenPct),"🔴","🟡")),"")</f>
        <v/>
      </c>
      <c r="O265" s="8" t="str">
        <f aca="false">IF(G265&lt;&gt;"",W265+X265+Y265+Z265+AB265+AC265+AD265,"")</f>
        <v/>
      </c>
      <c r="P265" s="9" t="str">
        <f aca="false">IF(G265&lt;&gt;"",IF(O265&lt;=Presupuesto,"✓","✗"),"")</f>
        <v/>
      </c>
      <c r="Q265" s="10" t="str">
        <f aca="false">IF(G265&lt;&gt;"",Presupuesto-O265,"")</f>
        <v/>
      </c>
      <c r="R265" s="11"/>
      <c r="S265" s="11"/>
      <c r="T265" s="12"/>
      <c r="U265" s="12"/>
      <c r="V265" s="11"/>
      <c r="W265" s="13" t="str">
        <f aca="false">IF(G265&lt;&gt;"",MAX(G265-Credito,G265*0.1),"")</f>
        <v/>
      </c>
      <c r="X265" s="13" t="str">
        <f aca="false">IF(G265&lt;&gt;"",ROUND(G265*0.02*1.21,0),"")</f>
        <v/>
      </c>
      <c r="Y265" s="13" t="str">
        <f aca="false">IF(G265&lt;&gt;"",IF(G265&lt;=140000,0,ROUND(G265*0.0175,0)),"")</f>
        <v/>
      </c>
      <c r="Z265" s="13" t="str">
        <f aca="false">IF(G265&lt;&gt;"",ROUND(G265*0.004,0),"")</f>
        <v/>
      </c>
      <c r="AA265" s="14"/>
      <c r="AB265" s="13" t="str">
        <f aca="false">IF(G265&lt;&gt;"",IF(AA265="Sí",ROUND(G265*0.04*1.21,0),0),"")</f>
        <v/>
      </c>
      <c r="AC265" s="13" t="str">
        <f aca="false">IF(G265&lt;&gt;"",ROUND(G265*0.01,0),"")</f>
        <v/>
      </c>
      <c r="AD265" s="13" t="str">
        <f aca="false">IF(G265&lt;&gt;"",300,"")</f>
        <v/>
      </c>
      <c r="AE265" s="15"/>
      <c r="AF265" s="15"/>
      <c r="AG265" s="16"/>
      <c r="AH265" s="16"/>
      <c r="AI265" s="17" t="str">
        <f aca="false">IF(AND(AG265&lt;&gt;"",AH265&lt;&gt;""),(AG265+AH265)/2,"")</f>
        <v/>
      </c>
      <c r="AJ265" s="15"/>
      <c r="AK265" s="15"/>
    </row>
    <row r="266" customFormat="false" ht="15" hidden="false" customHeight="false" outlineLevel="0" collapsed="false">
      <c r="A266" s="2" t="str">
        <f aca="false">IF(E266&lt;&gt;"",ROW()-1,"")</f>
        <v/>
      </c>
      <c r="B266" s="3"/>
      <c r="C266" s="3"/>
      <c r="D266" s="3"/>
      <c r="E266" s="4"/>
      <c r="F266" s="4"/>
      <c r="G266" s="5"/>
      <c r="H266" s="4"/>
      <c r="I266" s="4"/>
      <c r="J266" s="4"/>
      <c r="K266" s="4"/>
      <c r="L266" s="6" t="str">
        <f aca="false">IF(AND(G266&lt;&gt;"",H266&gt;0),ROUND(G266/H266,0),"")</f>
        <v/>
      </c>
      <c r="M266" s="6" t="str">
        <f aca="false">IF(F266&lt;&gt;"",IFERROR(VLOOKUP(F266,TablaRef,2,FALSE()),"?"),"")</f>
        <v/>
      </c>
      <c r="N266" s="7" t="str">
        <f aca="false">IF(AND(L266&lt;&gt;"",M266&lt;&gt;"",ISNUMBER(M266)),IF(L266&lt;M266*(1-MargenPct),"🟢",IF(L266&gt;M266*(1+MargenPct),"🔴","🟡")),"")</f>
        <v/>
      </c>
      <c r="O266" s="8" t="str">
        <f aca="false">IF(G266&lt;&gt;"",W266+X266+Y266+Z266+AB266+AC266+AD266,"")</f>
        <v/>
      </c>
      <c r="P266" s="9" t="str">
        <f aca="false">IF(G266&lt;&gt;"",IF(O266&lt;=Presupuesto,"✓","✗"),"")</f>
        <v/>
      </c>
      <c r="Q266" s="10" t="str">
        <f aca="false">IF(G266&lt;&gt;"",Presupuesto-O266,"")</f>
        <v/>
      </c>
      <c r="R266" s="11"/>
      <c r="S266" s="11"/>
      <c r="T266" s="12"/>
      <c r="U266" s="12"/>
      <c r="V266" s="11"/>
      <c r="W266" s="13" t="str">
        <f aca="false">IF(G266&lt;&gt;"",MAX(G266-Credito,G266*0.1),"")</f>
        <v/>
      </c>
      <c r="X266" s="13" t="str">
        <f aca="false">IF(G266&lt;&gt;"",ROUND(G266*0.02*1.21,0),"")</f>
        <v/>
      </c>
      <c r="Y266" s="13" t="str">
        <f aca="false">IF(G266&lt;&gt;"",IF(G266&lt;=140000,0,ROUND(G266*0.0175,0)),"")</f>
        <v/>
      </c>
      <c r="Z266" s="13" t="str">
        <f aca="false">IF(G266&lt;&gt;"",ROUND(G266*0.004,0),"")</f>
        <v/>
      </c>
      <c r="AA266" s="14"/>
      <c r="AB266" s="13" t="str">
        <f aca="false">IF(G266&lt;&gt;"",IF(AA266="Sí",ROUND(G266*0.04*1.21,0),0),"")</f>
        <v/>
      </c>
      <c r="AC266" s="13" t="str">
        <f aca="false">IF(G266&lt;&gt;"",ROUND(G266*0.01,0),"")</f>
        <v/>
      </c>
      <c r="AD266" s="13" t="str">
        <f aca="false">IF(G266&lt;&gt;"",300,"")</f>
        <v/>
      </c>
      <c r="AE266" s="15"/>
      <c r="AF266" s="15"/>
      <c r="AG266" s="16"/>
      <c r="AH266" s="16"/>
      <c r="AI266" s="17" t="str">
        <f aca="false">IF(AND(AG266&lt;&gt;"",AH266&lt;&gt;""),(AG266+AH266)/2,"")</f>
        <v/>
      </c>
      <c r="AJ266" s="15"/>
      <c r="AK266" s="15"/>
    </row>
    <row r="267" customFormat="false" ht="15" hidden="false" customHeight="false" outlineLevel="0" collapsed="false">
      <c r="A267" s="2" t="str">
        <f aca="false">IF(E267&lt;&gt;"",ROW()-1,"")</f>
        <v/>
      </c>
      <c r="B267" s="3"/>
      <c r="C267" s="3"/>
      <c r="D267" s="3"/>
      <c r="E267" s="4"/>
      <c r="F267" s="4"/>
      <c r="G267" s="5"/>
      <c r="H267" s="4"/>
      <c r="I267" s="4"/>
      <c r="J267" s="4"/>
      <c r="K267" s="4"/>
      <c r="L267" s="6" t="str">
        <f aca="false">IF(AND(G267&lt;&gt;"",H267&gt;0),ROUND(G267/H267,0),"")</f>
        <v/>
      </c>
      <c r="M267" s="6" t="str">
        <f aca="false">IF(F267&lt;&gt;"",IFERROR(VLOOKUP(F267,TablaRef,2,FALSE()),"?"),"")</f>
        <v/>
      </c>
      <c r="N267" s="7" t="str">
        <f aca="false">IF(AND(L267&lt;&gt;"",M267&lt;&gt;"",ISNUMBER(M267)),IF(L267&lt;M267*(1-MargenPct),"🟢",IF(L267&gt;M267*(1+MargenPct),"🔴","🟡")),"")</f>
        <v/>
      </c>
      <c r="O267" s="8" t="str">
        <f aca="false">IF(G267&lt;&gt;"",W267+X267+Y267+Z267+AB267+AC267+AD267,"")</f>
        <v/>
      </c>
      <c r="P267" s="9" t="str">
        <f aca="false">IF(G267&lt;&gt;"",IF(O267&lt;=Presupuesto,"✓","✗"),"")</f>
        <v/>
      </c>
      <c r="Q267" s="10" t="str">
        <f aca="false">IF(G267&lt;&gt;"",Presupuesto-O267,"")</f>
        <v/>
      </c>
      <c r="R267" s="11"/>
      <c r="S267" s="11"/>
      <c r="T267" s="12"/>
      <c r="U267" s="12"/>
      <c r="V267" s="11"/>
      <c r="W267" s="13" t="str">
        <f aca="false">IF(G267&lt;&gt;"",MAX(G267-Credito,G267*0.1),"")</f>
        <v/>
      </c>
      <c r="X267" s="13" t="str">
        <f aca="false">IF(G267&lt;&gt;"",ROUND(G267*0.02*1.21,0),"")</f>
        <v/>
      </c>
      <c r="Y267" s="13" t="str">
        <f aca="false">IF(G267&lt;&gt;"",IF(G267&lt;=140000,0,ROUND(G267*0.0175,0)),"")</f>
        <v/>
      </c>
      <c r="Z267" s="13" t="str">
        <f aca="false">IF(G267&lt;&gt;"",ROUND(G267*0.004,0),"")</f>
        <v/>
      </c>
      <c r="AA267" s="14"/>
      <c r="AB267" s="13" t="str">
        <f aca="false">IF(G267&lt;&gt;"",IF(AA267="Sí",ROUND(G267*0.04*1.21,0),0),"")</f>
        <v/>
      </c>
      <c r="AC267" s="13" t="str">
        <f aca="false">IF(G267&lt;&gt;"",ROUND(G267*0.01,0),"")</f>
        <v/>
      </c>
      <c r="AD267" s="13" t="str">
        <f aca="false">IF(G267&lt;&gt;"",300,"")</f>
        <v/>
      </c>
      <c r="AE267" s="15"/>
      <c r="AF267" s="15"/>
      <c r="AG267" s="16"/>
      <c r="AH267" s="16"/>
      <c r="AI267" s="17" t="str">
        <f aca="false">IF(AND(AG267&lt;&gt;"",AH267&lt;&gt;""),(AG267+AH267)/2,"")</f>
        <v/>
      </c>
      <c r="AJ267" s="15"/>
      <c r="AK267" s="15"/>
    </row>
    <row r="268" customFormat="false" ht="15" hidden="false" customHeight="false" outlineLevel="0" collapsed="false">
      <c r="A268" s="2" t="str">
        <f aca="false">IF(E268&lt;&gt;"",ROW()-1,"")</f>
        <v/>
      </c>
      <c r="B268" s="3"/>
      <c r="C268" s="3"/>
      <c r="D268" s="3"/>
      <c r="E268" s="4"/>
      <c r="F268" s="4"/>
      <c r="G268" s="5"/>
      <c r="H268" s="4"/>
      <c r="I268" s="4"/>
      <c r="J268" s="4"/>
      <c r="K268" s="4"/>
      <c r="L268" s="6" t="str">
        <f aca="false">IF(AND(G268&lt;&gt;"",H268&gt;0),ROUND(G268/H268,0),"")</f>
        <v/>
      </c>
      <c r="M268" s="6" t="str">
        <f aca="false">IF(F268&lt;&gt;"",IFERROR(VLOOKUP(F268,TablaRef,2,FALSE()),"?"),"")</f>
        <v/>
      </c>
      <c r="N268" s="7" t="str">
        <f aca="false">IF(AND(L268&lt;&gt;"",M268&lt;&gt;"",ISNUMBER(M268)),IF(L268&lt;M268*(1-MargenPct),"🟢",IF(L268&gt;M268*(1+MargenPct),"🔴","🟡")),"")</f>
        <v/>
      </c>
      <c r="O268" s="8" t="str">
        <f aca="false">IF(G268&lt;&gt;"",W268+X268+Y268+Z268+AB268+AC268+AD268,"")</f>
        <v/>
      </c>
      <c r="P268" s="9" t="str">
        <f aca="false">IF(G268&lt;&gt;"",IF(O268&lt;=Presupuesto,"✓","✗"),"")</f>
        <v/>
      </c>
      <c r="Q268" s="10" t="str">
        <f aca="false">IF(G268&lt;&gt;"",Presupuesto-O268,"")</f>
        <v/>
      </c>
      <c r="R268" s="11"/>
      <c r="S268" s="11"/>
      <c r="T268" s="12"/>
      <c r="U268" s="12"/>
      <c r="V268" s="11"/>
      <c r="W268" s="13" t="str">
        <f aca="false">IF(G268&lt;&gt;"",MAX(G268-Credito,G268*0.1),"")</f>
        <v/>
      </c>
      <c r="X268" s="13" t="str">
        <f aca="false">IF(G268&lt;&gt;"",ROUND(G268*0.02*1.21,0),"")</f>
        <v/>
      </c>
      <c r="Y268" s="13" t="str">
        <f aca="false">IF(G268&lt;&gt;"",IF(G268&lt;=140000,0,ROUND(G268*0.0175,0)),"")</f>
        <v/>
      </c>
      <c r="Z268" s="13" t="str">
        <f aca="false">IF(G268&lt;&gt;"",ROUND(G268*0.004,0),"")</f>
        <v/>
      </c>
      <c r="AA268" s="14"/>
      <c r="AB268" s="13" t="str">
        <f aca="false">IF(G268&lt;&gt;"",IF(AA268="Sí",ROUND(G268*0.04*1.21,0),0),"")</f>
        <v/>
      </c>
      <c r="AC268" s="13" t="str">
        <f aca="false">IF(G268&lt;&gt;"",ROUND(G268*0.01,0),"")</f>
        <v/>
      </c>
      <c r="AD268" s="13" t="str">
        <f aca="false">IF(G268&lt;&gt;"",300,"")</f>
        <v/>
      </c>
      <c r="AE268" s="15"/>
      <c r="AF268" s="15"/>
      <c r="AG268" s="16"/>
      <c r="AH268" s="16"/>
      <c r="AI268" s="17" t="str">
        <f aca="false">IF(AND(AG268&lt;&gt;"",AH268&lt;&gt;""),(AG268+AH268)/2,"")</f>
        <v/>
      </c>
      <c r="AJ268" s="15"/>
      <c r="AK268" s="15"/>
    </row>
    <row r="269" customFormat="false" ht="15" hidden="false" customHeight="false" outlineLevel="0" collapsed="false">
      <c r="A269" s="2" t="str">
        <f aca="false">IF(E269&lt;&gt;"",ROW()-1,"")</f>
        <v/>
      </c>
      <c r="B269" s="3"/>
      <c r="C269" s="3"/>
      <c r="D269" s="3"/>
      <c r="E269" s="4"/>
      <c r="F269" s="4"/>
      <c r="G269" s="5"/>
      <c r="H269" s="4"/>
      <c r="I269" s="4"/>
      <c r="J269" s="4"/>
      <c r="K269" s="4"/>
      <c r="L269" s="6" t="str">
        <f aca="false">IF(AND(G269&lt;&gt;"",H269&gt;0),ROUND(G269/H269,0),"")</f>
        <v/>
      </c>
      <c r="M269" s="6" t="str">
        <f aca="false">IF(F269&lt;&gt;"",IFERROR(VLOOKUP(F269,TablaRef,2,FALSE()),"?"),"")</f>
        <v/>
      </c>
      <c r="N269" s="7" t="str">
        <f aca="false">IF(AND(L269&lt;&gt;"",M269&lt;&gt;"",ISNUMBER(M269)),IF(L269&lt;M269*(1-MargenPct),"🟢",IF(L269&gt;M269*(1+MargenPct),"🔴","🟡")),"")</f>
        <v/>
      </c>
      <c r="O269" s="8" t="str">
        <f aca="false">IF(G269&lt;&gt;"",W269+X269+Y269+Z269+AB269+AC269+AD269,"")</f>
        <v/>
      </c>
      <c r="P269" s="9" t="str">
        <f aca="false">IF(G269&lt;&gt;"",IF(O269&lt;=Presupuesto,"✓","✗"),"")</f>
        <v/>
      </c>
      <c r="Q269" s="10" t="str">
        <f aca="false">IF(G269&lt;&gt;"",Presupuesto-O269,"")</f>
        <v/>
      </c>
      <c r="R269" s="11"/>
      <c r="S269" s="11"/>
      <c r="T269" s="12"/>
      <c r="U269" s="12"/>
      <c r="V269" s="11"/>
      <c r="W269" s="13" t="str">
        <f aca="false">IF(G269&lt;&gt;"",MAX(G269-Credito,G269*0.1),"")</f>
        <v/>
      </c>
      <c r="X269" s="13" t="str">
        <f aca="false">IF(G269&lt;&gt;"",ROUND(G269*0.02*1.21,0),"")</f>
        <v/>
      </c>
      <c r="Y269" s="13" t="str">
        <f aca="false">IF(G269&lt;&gt;"",IF(G269&lt;=140000,0,ROUND(G269*0.0175,0)),"")</f>
        <v/>
      </c>
      <c r="Z269" s="13" t="str">
        <f aca="false">IF(G269&lt;&gt;"",ROUND(G269*0.004,0),"")</f>
        <v/>
      </c>
      <c r="AA269" s="14"/>
      <c r="AB269" s="13" t="str">
        <f aca="false">IF(G269&lt;&gt;"",IF(AA269="Sí",ROUND(G269*0.04*1.21,0),0),"")</f>
        <v/>
      </c>
      <c r="AC269" s="13" t="str">
        <f aca="false">IF(G269&lt;&gt;"",ROUND(G269*0.01,0),"")</f>
        <v/>
      </c>
      <c r="AD269" s="13" t="str">
        <f aca="false">IF(G269&lt;&gt;"",300,"")</f>
        <v/>
      </c>
      <c r="AE269" s="15"/>
      <c r="AF269" s="15"/>
      <c r="AG269" s="16"/>
      <c r="AH269" s="16"/>
      <c r="AI269" s="17" t="str">
        <f aca="false">IF(AND(AG269&lt;&gt;"",AH269&lt;&gt;""),(AG269+AH269)/2,"")</f>
        <v/>
      </c>
      <c r="AJ269" s="15"/>
      <c r="AK269" s="15"/>
    </row>
    <row r="270" customFormat="false" ht="15" hidden="false" customHeight="false" outlineLevel="0" collapsed="false">
      <c r="A270" s="2" t="str">
        <f aca="false">IF(E270&lt;&gt;"",ROW()-1,"")</f>
        <v/>
      </c>
      <c r="B270" s="3"/>
      <c r="C270" s="3"/>
      <c r="D270" s="3"/>
      <c r="E270" s="4"/>
      <c r="F270" s="4"/>
      <c r="G270" s="5"/>
      <c r="H270" s="4"/>
      <c r="I270" s="4"/>
      <c r="J270" s="4"/>
      <c r="K270" s="4"/>
      <c r="L270" s="6" t="str">
        <f aca="false">IF(AND(G270&lt;&gt;"",H270&gt;0),ROUND(G270/H270,0),"")</f>
        <v/>
      </c>
      <c r="M270" s="6" t="str">
        <f aca="false">IF(F270&lt;&gt;"",IFERROR(VLOOKUP(F270,TablaRef,2,FALSE()),"?"),"")</f>
        <v/>
      </c>
      <c r="N270" s="7" t="str">
        <f aca="false">IF(AND(L270&lt;&gt;"",M270&lt;&gt;"",ISNUMBER(M270)),IF(L270&lt;M270*(1-MargenPct),"🟢",IF(L270&gt;M270*(1+MargenPct),"🔴","🟡")),"")</f>
        <v/>
      </c>
      <c r="O270" s="8" t="str">
        <f aca="false">IF(G270&lt;&gt;"",W270+X270+Y270+Z270+AB270+AC270+AD270,"")</f>
        <v/>
      </c>
      <c r="P270" s="9" t="str">
        <f aca="false">IF(G270&lt;&gt;"",IF(O270&lt;=Presupuesto,"✓","✗"),"")</f>
        <v/>
      </c>
      <c r="Q270" s="10" t="str">
        <f aca="false">IF(G270&lt;&gt;"",Presupuesto-O270,"")</f>
        <v/>
      </c>
      <c r="R270" s="11"/>
      <c r="S270" s="11"/>
      <c r="T270" s="12"/>
      <c r="U270" s="12"/>
      <c r="V270" s="11"/>
      <c r="W270" s="13" t="str">
        <f aca="false">IF(G270&lt;&gt;"",MAX(G270-Credito,G270*0.1),"")</f>
        <v/>
      </c>
      <c r="X270" s="13" t="str">
        <f aca="false">IF(G270&lt;&gt;"",ROUND(G270*0.02*1.21,0),"")</f>
        <v/>
      </c>
      <c r="Y270" s="13" t="str">
        <f aca="false">IF(G270&lt;&gt;"",IF(G270&lt;=140000,0,ROUND(G270*0.0175,0)),"")</f>
        <v/>
      </c>
      <c r="Z270" s="13" t="str">
        <f aca="false">IF(G270&lt;&gt;"",ROUND(G270*0.004,0),"")</f>
        <v/>
      </c>
      <c r="AA270" s="14"/>
      <c r="AB270" s="13" t="str">
        <f aca="false">IF(G270&lt;&gt;"",IF(AA270="Sí",ROUND(G270*0.04*1.21,0),0),"")</f>
        <v/>
      </c>
      <c r="AC270" s="13" t="str">
        <f aca="false">IF(G270&lt;&gt;"",ROUND(G270*0.01,0),"")</f>
        <v/>
      </c>
      <c r="AD270" s="13" t="str">
        <f aca="false">IF(G270&lt;&gt;"",300,"")</f>
        <v/>
      </c>
      <c r="AE270" s="15"/>
      <c r="AF270" s="15"/>
      <c r="AG270" s="16"/>
      <c r="AH270" s="16"/>
      <c r="AI270" s="17" t="str">
        <f aca="false">IF(AND(AG270&lt;&gt;"",AH270&lt;&gt;""),(AG270+AH270)/2,"")</f>
        <v/>
      </c>
      <c r="AJ270" s="15"/>
      <c r="AK270" s="15"/>
    </row>
    <row r="271" customFormat="false" ht="15" hidden="false" customHeight="false" outlineLevel="0" collapsed="false">
      <c r="A271" s="2" t="str">
        <f aca="false">IF(E271&lt;&gt;"",ROW()-1,"")</f>
        <v/>
      </c>
      <c r="B271" s="3"/>
      <c r="C271" s="3"/>
      <c r="D271" s="3"/>
      <c r="E271" s="4"/>
      <c r="F271" s="4"/>
      <c r="G271" s="5"/>
      <c r="H271" s="4"/>
      <c r="I271" s="4"/>
      <c r="J271" s="4"/>
      <c r="K271" s="4"/>
      <c r="L271" s="6" t="str">
        <f aca="false">IF(AND(G271&lt;&gt;"",H271&gt;0),ROUND(G271/H271,0),"")</f>
        <v/>
      </c>
      <c r="M271" s="6" t="str">
        <f aca="false">IF(F271&lt;&gt;"",IFERROR(VLOOKUP(F271,TablaRef,2,FALSE()),"?"),"")</f>
        <v/>
      </c>
      <c r="N271" s="7" t="str">
        <f aca="false">IF(AND(L271&lt;&gt;"",M271&lt;&gt;"",ISNUMBER(M271)),IF(L271&lt;M271*(1-MargenPct),"🟢",IF(L271&gt;M271*(1+MargenPct),"🔴","🟡")),"")</f>
        <v/>
      </c>
      <c r="O271" s="8" t="str">
        <f aca="false">IF(G271&lt;&gt;"",W271+X271+Y271+Z271+AB271+AC271+AD271,"")</f>
        <v/>
      </c>
      <c r="P271" s="9" t="str">
        <f aca="false">IF(G271&lt;&gt;"",IF(O271&lt;=Presupuesto,"✓","✗"),"")</f>
        <v/>
      </c>
      <c r="Q271" s="10" t="str">
        <f aca="false">IF(G271&lt;&gt;"",Presupuesto-O271,"")</f>
        <v/>
      </c>
      <c r="R271" s="11"/>
      <c r="S271" s="11"/>
      <c r="T271" s="12"/>
      <c r="U271" s="12"/>
      <c r="V271" s="11"/>
      <c r="W271" s="13" t="str">
        <f aca="false">IF(G271&lt;&gt;"",MAX(G271-Credito,G271*0.1),"")</f>
        <v/>
      </c>
      <c r="X271" s="13" t="str">
        <f aca="false">IF(G271&lt;&gt;"",ROUND(G271*0.02*1.21,0),"")</f>
        <v/>
      </c>
      <c r="Y271" s="13" t="str">
        <f aca="false">IF(G271&lt;&gt;"",IF(G271&lt;=140000,0,ROUND(G271*0.0175,0)),"")</f>
        <v/>
      </c>
      <c r="Z271" s="13" t="str">
        <f aca="false">IF(G271&lt;&gt;"",ROUND(G271*0.004,0),"")</f>
        <v/>
      </c>
      <c r="AA271" s="14"/>
      <c r="AB271" s="13" t="str">
        <f aca="false">IF(G271&lt;&gt;"",IF(AA271="Sí",ROUND(G271*0.04*1.21,0),0),"")</f>
        <v/>
      </c>
      <c r="AC271" s="13" t="str">
        <f aca="false">IF(G271&lt;&gt;"",ROUND(G271*0.01,0),"")</f>
        <v/>
      </c>
      <c r="AD271" s="13" t="str">
        <f aca="false">IF(G271&lt;&gt;"",300,"")</f>
        <v/>
      </c>
      <c r="AE271" s="15"/>
      <c r="AF271" s="15"/>
      <c r="AG271" s="16"/>
      <c r="AH271" s="16"/>
      <c r="AI271" s="17" t="str">
        <f aca="false">IF(AND(AG271&lt;&gt;"",AH271&lt;&gt;""),(AG271+AH271)/2,"")</f>
        <v/>
      </c>
      <c r="AJ271" s="15"/>
      <c r="AK271" s="15"/>
    </row>
    <row r="272" customFormat="false" ht="15" hidden="false" customHeight="false" outlineLevel="0" collapsed="false">
      <c r="A272" s="2" t="str">
        <f aca="false">IF(E272&lt;&gt;"",ROW()-1,"")</f>
        <v/>
      </c>
      <c r="B272" s="3"/>
      <c r="C272" s="3"/>
      <c r="D272" s="3"/>
      <c r="E272" s="4"/>
      <c r="F272" s="4"/>
      <c r="G272" s="5"/>
      <c r="H272" s="4"/>
      <c r="I272" s="4"/>
      <c r="J272" s="4"/>
      <c r="K272" s="4"/>
      <c r="L272" s="6" t="str">
        <f aca="false">IF(AND(G272&lt;&gt;"",H272&gt;0),ROUND(G272/H272,0),"")</f>
        <v/>
      </c>
      <c r="M272" s="6" t="str">
        <f aca="false">IF(F272&lt;&gt;"",IFERROR(VLOOKUP(F272,TablaRef,2,FALSE()),"?"),"")</f>
        <v/>
      </c>
      <c r="N272" s="7" t="str">
        <f aca="false">IF(AND(L272&lt;&gt;"",M272&lt;&gt;"",ISNUMBER(M272)),IF(L272&lt;M272*(1-MargenPct),"🟢",IF(L272&gt;M272*(1+MargenPct),"🔴","🟡")),"")</f>
        <v/>
      </c>
      <c r="O272" s="8" t="str">
        <f aca="false">IF(G272&lt;&gt;"",W272+X272+Y272+Z272+AB272+AC272+AD272,"")</f>
        <v/>
      </c>
      <c r="P272" s="9" t="str">
        <f aca="false">IF(G272&lt;&gt;"",IF(O272&lt;=Presupuesto,"✓","✗"),"")</f>
        <v/>
      </c>
      <c r="Q272" s="10" t="str">
        <f aca="false">IF(G272&lt;&gt;"",Presupuesto-O272,"")</f>
        <v/>
      </c>
      <c r="R272" s="11"/>
      <c r="S272" s="11"/>
      <c r="T272" s="12"/>
      <c r="U272" s="12"/>
      <c r="V272" s="11"/>
      <c r="W272" s="13" t="str">
        <f aca="false">IF(G272&lt;&gt;"",MAX(G272-Credito,G272*0.1),"")</f>
        <v/>
      </c>
      <c r="X272" s="13" t="str">
        <f aca="false">IF(G272&lt;&gt;"",ROUND(G272*0.02*1.21,0),"")</f>
        <v/>
      </c>
      <c r="Y272" s="13" t="str">
        <f aca="false">IF(G272&lt;&gt;"",IF(G272&lt;=140000,0,ROUND(G272*0.0175,0)),"")</f>
        <v/>
      </c>
      <c r="Z272" s="13" t="str">
        <f aca="false">IF(G272&lt;&gt;"",ROUND(G272*0.004,0),"")</f>
        <v/>
      </c>
      <c r="AA272" s="14"/>
      <c r="AB272" s="13" t="str">
        <f aca="false">IF(G272&lt;&gt;"",IF(AA272="Sí",ROUND(G272*0.04*1.21,0),0),"")</f>
        <v/>
      </c>
      <c r="AC272" s="13" t="str">
        <f aca="false">IF(G272&lt;&gt;"",ROUND(G272*0.01,0),"")</f>
        <v/>
      </c>
      <c r="AD272" s="13" t="str">
        <f aca="false">IF(G272&lt;&gt;"",300,"")</f>
        <v/>
      </c>
      <c r="AE272" s="15"/>
      <c r="AF272" s="15"/>
      <c r="AG272" s="16"/>
      <c r="AH272" s="16"/>
      <c r="AI272" s="17" t="str">
        <f aca="false">IF(AND(AG272&lt;&gt;"",AH272&lt;&gt;""),(AG272+AH272)/2,"")</f>
        <v/>
      </c>
      <c r="AJ272" s="15"/>
      <c r="AK272" s="15"/>
    </row>
    <row r="273" customFormat="false" ht="15" hidden="false" customHeight="false" outlineLevel="0" collapsed="false">
      <c r="A273" s="2" t="str">
        <f aca="false">IF(E273&lt;&gt;"",ROW()-1,"")</f>
        <v/>
      </c>
      <c r="B273" s="3"/>
      <c r="C273" s="3"/>
      <c r="D273" s="3"/>
      <c r="E273" s="4"/>
      <c r="F273" s="4"/>
      <c r="G273" s="5"/>
      <c r="H273" s="4"/>
      <c r="I273" s="4"/>
      <c r="J273" s="4"/>
      <c r="K273" s="4"/>
      <c r="L273" s="6" t="str">
        <f aca="false">IF(AND(G273&lt;&gt;"",H273&gt;0),ROUND(G273/H273,0),"")</f>
        <v/>
      </c>
      <c r="M273" s="6" t="str">
        <f aca="false">IF(F273&lt;&gt;"",IFERROR(VLOOKUP(F273,TablaRef,2,FALSE()),"?"),"")</f>
        <v/>
      </c>
      <c r="N273" s="7" t="str">
        <f aca="false">IF(AND(L273&lt;&gt;"",M273&lt;&gt;"",ISNUMBER(M273)),IF(L273&lt;M273*(1-MargenPct),"🟢",IF(L273&gt;M273*(1+MargenPct),"🔴","🟡")),"")</f>
        <v/>
      </c>
      <c r="O273" s="8" t="str">
        <f aca="false">IF(G273&lt;&gt;"",W273+X273+Y273+Z273+AB273+AC273+AD273,"")</f>
        <v/>
      </c>
      <c r="P273" s="9" t="str">
        <f aca="false">IF(G273&lt;&gt;"",IF(O273&lt;=Presupuesto,"✓","✗"),"")</f>
        <v/>
      </c>
      <c r="Q273" s="10" t="str">
        <f aca="false">IF(G273&lt;&gt;"",Presupuesto-O273,"")</f>
        <v/>
      </c>
      <c r="R273" s="11"/>
      <c r="S273" s="11"/>
      <c r="T273" s="12"/>
      <c r="U273" s="12"/>
      <c r="V273" s="11"/>
      <c r="W273" s="13" t="str">
        <f aca="false">IF(G273&lt;&gt;"",MAX(G273-Credito,G273*0.1),"")</f>
        <v/>
      </c>
      <c r="X273" s="13" t="str">
        <f aca="false">IF(G273&lt;&gt;"",ROUND(G273*0.02*1.21,0),"")</f>
        <v/>
      </c>
      <c r="Y273" s="13" t="str">
        <f aca="false">IF(G273&lt;&gt;"",IF(G273&lt;=140000,0,ROUND(G273*0.0175,0)),"")</f>
        <v/>
      </c>
      <c r="Z273" s="13" t="str">
        <f aca="false">IF(G273&lt;&gt;"",ROUND(G273*0.004,0),"")</f>
        <v/>
      </c>
      <c r="AA273" s="14"/>
      <c r="AB273" s="13" t="str">
        <f aca="false">IF(G273&lt;&gt;"",IF(AA273="Sí",ROUND(G273*0.04*1.21,0),0),"")</f>
        <v/>
      </c>
      <c r="AC273" s="13" t="str">
        <f aca="false">IF(G273&lt;&gt;"",ROUND(G273*0.01,0),"")</f>
        <v/>
      </c>
      <c r="AD273" s="13" t="str">
        <f aca="false">IF(G273&lt;&gt;"",300,"")</f>
        <v/>
      </c>
      <c r="AE273" s="15"/>
      <c r="AF273" s="15"/>
      <c r="AG273" s="16"/>
      <c r="AH273" s="16"/>
      <c r="AI273" s="17" t="str">
        <f aca="false">IF(AND(AG273&lt;&gt;"",AH273&lt;&gt;""),(AG273+AH273)/2,"")</f>
        <v/>
      </c>
      <c r="AJ273" s="15"/>
      <c r="AK273" s="15"/>
    </row>
    <row r="274" customFormat="false" ht="15" hidden="false" customHeight="false" outlineLevel="0" collapsed="false">
      <c r="A274" s="2" t="str">
        <f aca="false">IF(E274&lt;&gt;"",ROW()-1,"")</f>
        <v/>
      </c>
      <c r="B274" s="3"/>
      <c r="C274" s="3"/>
      <c r="D274" s="3"/>
      <c r="E274" s="4"/>
      <c r="F274" s="4"/>
      <c r="G274" s="5"/>
      <c r="H274" s="4"/>
      <c r="I274" s="4"/>
      <c r="J274" s="4"/>
      <c r="K274" s="4"/>
      <c r="L274" s="6" t="str">
        <f aca="false">IF(AND(G274&lt;&gt;"",H274&gt;0),ROUND(G274/H274,0),"")</f>
        <v/>
      </c>
      <c r="M274" s="6" t="str">
        <f aca="false">IF(F274&lt;&gt;"",IFERROR(VLOOKUP(F274,TablaRef,2,FALSE()),"?"),"")</f>
        <v/>
      </c>
      <c r="N274" s="7" t="str">
        <f aca="false">IF(AND(L274&lt;&gt;"",M274&lt;&gt;"",ISNUMBER(M274)),IF(L274&lt;M274*(1-MargenPct),"🟢",IF(L274&gt;M274*(1+MargenPct),"🔴","🟡")),"")</f>
        <v/>
      </c>
      <c r="O274" s="8" t="str">
        <f aca="false">IF(G274&lt;&gt;"",W274+X274+Y274+Z274+AB274+AC274+AD274,"")</f>
        <v/>
      </c>
      <c r="P274" s="9" t="str">
        <f aca="false">IF(G274&lt;&gt;"",IF(O274&lt;=Presupuesto,"✓","✗"),"")</f>
        <v/>
      </c>
      <c r="Q274" s="10" t="str">
        <f aca="false">IF(G274&lt;&gt;"",Presupuesto-O274,"")</f>
        <v/>
      </c>
      <c r="R274" s="11"/>
      <c r="S274" s="11"/>
      <c r="T274" s="12"/>
      <c r="U274" s="12"/>
      <c r="V274" s="11"/>
      <c r="W274" s="13" t="str">
        <f aca="false">IF(G274&lt;&gt;"",MAX(G274-Credito,G274*0.1),"")</f>
        <v/>
      </c>
      <c r="X274" s="13" t="str">
        <f aca="false">IF(G274&lt;&gt;"",ROUND(G274*0.02*1.21,0),"")</f>
        <v/>
      </c>
      <c r="Y274" s="13" t="str">
        <f aca="false">IF(G274&lt;&gt;"",IF(G274&lt;=140000,0,ROUND(G274*0.0175,0)),"")</f>
        <v/>
      </c>
      <c r="Z274" s="13" t="str">
        <f aca="false">IF(G274&lt;&gt;"",ROUND(G274*0.004,0),"")</f>
        <v/>
      </c>
      <c r="AA274" s="14"/>
      <c r="AB274" s="13" t="str">
        <f aca="false">IF(G274&lt;&gt;"",IF(AA274="Sí",ROUND(G274*0.04*1.21,0),0),"")</f>
        <v/>
      </c>
      <c r="AC274" s="13" t="str">
        <f aca="false">IF(G274&lt;&gt;"",ROUND(G274*0.01,0),"")</f>
        <v/>
      </c>
      <c r="AD274" s="13" t="str">
        <f aca="false">IF(G274&lt;&gt;"",300,"")</f>
        <v/>
      </c>
      <c r="AE274" s="15"/>
      <c r="AF274" s="15"/>
      <c r="AG274" s="16"/>
      <c r="AH274" s="16"/>
      <c r="AI274" s="17" t="str">
        <f aca="false">IF(AND(AG274&lt;&gt;"",AH274&lt;&gt;""),(AG274+AH274)/2,"")</f>
        <v/>
      </c>
      <c r="AJ274" s="15"/>
      <c r="AK274" s="15"/>
    </row>
    <row r="275" customFormat="false" ht="15" hidden="false" customHeight="false" outlineLevel="0" collapsed="false">
      <c r="A275" s="2" t="str">
        <f aca="false">IF(E275&lt;&gt;"",ROW()-1,"")</f>
        <v/>
      </c>
      <c r="B275" s="3"/>
      <c r="C275" s="3"/>
      <c r="D275" s="3"/>
      <c r="E275" s="4"/>
      <c r="F275" s="4"/>
      <c r="G275" s="5"/>
      <c r="H275" s="4"/>
      <c r="I275" s="4"/>
      <c r="J275" s="4"/>
      <c r="K275" s="4"/>
      <c r="L275" s="6" t="str">
        <f aca="false">IF(AND(G275&lt;&gt;"",H275&gt;0),ROUND(G275/H275,0),"")</f>
        <v/>
      </c>
      <c r="M275" s="6" t="str">
        <f aca="false">IF(F275&lt;&gt;"",IFERROR(VLOOKUP(F275,TablaRef,2,FALSE()),"?"),"")</f>
        <v/>
      </c>
      <c r="N275" s="7" t="str">
        <f aca="false">IF(AND(L275&lt;&gt;"",M275&lt;&gt;"",ISNUMBER(M275)),IF(L275&lt;M275*(1-MargenPct),"🟢",IF(L275&gt;M275*(1+MargenPct),"🔴","🟡")),"")</f>
        <v/>
      </c>
      <c r="O275" s="8" t="str">
        <f aca="false">IF(G275&lt;&gt;"",W275+X275+Y275+Z275+AB275+AC275+AD275,"")</f>
        <v/>
      </c>
      <c r="P275" s="9" t="str">
        <f aca="false">IF(G275&lt;&gt;"",IF(O275&lt;=Presupuesto,"✓","✗"),"")</f>
        <v/>
      </c>
      <c r="Q275" s="10" t="str">
        <f aca="false">IF(G275&lt;&gt;"",Presupuesto-O275,"")</f>
        <v/>
      </c>
      <c r="R275" s="11"/>
      <c r="S275" s="11"/>
      <c r="T275" s="12"/>
      <c r="U275" s="12"/>
      <c r="V275" s="11"/>
      <c r="W275" s="13" t="str">
        <f aca="false">IF(G275&lt;&gt;"",MAX(G275-Credito,G275*0.1),"")</f>
        <v/>
      </c>
      <c r="X275" s="13" t="str">
        <f aca="false">IF(G275&lt;&gt;"",ROUND(G275*0.02*1.21,0),"")</f>
        <v/>
      </c>
      <c r="Y275" s="13" t="str">
        <f aca="false">IF(G275&lt;&gt;"",IF(G275&lt;=140000,0,ROUND(G275*0.0175,0)),"")</f>
        <v/>
      </c>
      <c r="Z275" s="13" t="str">
        <f aca="false">IF(G275&lt;&gt;"",ROUND(G275*0.004,0),"")</f>
        <v/>
      </c>
      <c r="AA275" s="14"/>
      <c r="AB275" s="13" t="str">
        <f aca="false">IF(G275&lt;&gt;"",IF(AA275="Sí",ROUND(G275*0.04*1.21,0),0),"")</f>
        <v/>
      </c>
      <c r="AC275" s="13" t="str">
        <f aca="false">IF(G275&lt;&gt;"",ROUND(G275*0.01,0),"")</f>
        <v/>
      </c>
      <c r="AD275" s="13" t="str">
        <f aca="false">IF(G275&lt;&gt;"",300,"")</f>
        <v/>
      </c>
      <c r="AE275" s="15"/>
      <c r="AF275" s="15"/>
      <c r="AG275" s="16"/>
      <c r="AH275" s="16"/>
      <c r="AI275" s="17" t="str">
        <f aca="false">IF(AND(AG275&lt;&gt;"",AH275&lt;&gt;""),(AG275+AH275)/2,"")</f>
        <v/>
      </c>
      <c r="AJ275" s="15"/>
      <c r="AK275" s="15"/>
    </row>
    <row r="276" customFormat="false" ht="15" hidden="false" customHeight="false" outlineLevel="0" collapsed="false">
      <c r="A276" s="2" t="str">
        <f aca="false">IF(E276&lt;&gt;"",ROW()-1,"")</f>
        <v/>
      </c>
      <c r="B276" s="3"/>
      <c r="C276" s="3"/>
      <c r="D276" s="3"/>
      <c r="E276" s="4"/>
      <c r="F276" s="4"/>
      <c r="G276" s="5"/>
      <c r="H276" s="4"/>
      <c r="I276" s="4"/>
      <c r="J276" s="4"/>
      <c r="K276" s="4"/>
      <c r="L276" s="6" t="str">
        <f aca="false">IF(AND(G276&lt;&gt;"",H276&gt;0),ROUND(G276/H276,0),"")</f>
        <v/>
      </c>
      <c r="M276" s="6" t="str">
        <f aca="false">IF(F276&lt;&gt;"",IFERROR(VLOOKUP(F276,TablaRef,2,FALSE()),"?"),"")</f>
        <v/>
      </c>
      <c r="N276" s="7" t="str">
        <f aca="false">IF(AND(L276&lt;&gt;"",M276&lt;&gt;"",ISNUMBER(M276)),IF(L276&lt;M276*(1-MargenPct),"🟢",IF(L276&gt;M276*(1+MargenPct),"🔴","🟡")),"")</f>
        <v/>
      </c>
      <c r="O276" s="8" t="str">
        <f aca="false">IF(G276&lt;&gt;"",W276+X276+Y276+Z276+AB276+AC276+AD276,"")</f>
        <v/>
      </c>
      <c r="P276" s="9" t="str">
        <f aca="false">IF(G276&lt;&gt;"",IF(O276&lt;=Presupuesto,"✓","✗"),"")</f>
        <v/>
      </c>
      <c r="Q276" s="10" t="str">
        <f aca="false">IF(G276&lt;&gt;"",Presupuesto-O276,"")</f>
        <v/>
      </c>
      <c r="R276" s="11"/>
      <c r="S276" s="11"/>
      <c r="T276" s="12"/>
      <c r="U276" s="12"/>
      <c r="V276" s="11"/>
      <c r="W276" s="13" t="str">
        <f aca="false">IF(G276&lt;&gt;"",MAX(G276-Credito,G276*0.1),"")</f>
        <v/>
      </c>
      <c r="X276" s="13" t="str">
        <f aca="false">IF(G276&lt;&gt;"",ROUND(G276*0.02*1.21,0),"")</f>
        <v/>
      </c>
      <c r="Y276" s="13" t="str">
        <f aca="false">IF(G276&lt;&gt;"",IF(G276&lt;=140000,0,ROUND(G276*0.0175,0)),"")</f>
        <v/>
      </c>
      <c r="Z276" s="13" t="str">
        <f aca="false">IF(G276&lt;&gt;"",ROUND(G276*0.004,0),"")</f>
        <v/>
      </c>
      <c r="AA276" s="14"/>
      <c r="AB276" s="13" t="str">
        <f aca="false">IF(G276&lt;&gt;"",IF(AA276="Sí",ROUND(G276*0.04*1.21,0),0),"")</f>
        <v/>
      </c>
      <c r="AC276" s="13" t="str">
        <f aca="false">IF(G276&lt;&gt;"",ROUND(G276*0.01,0),"")</f>
        <v/>
      </c>
      <c r="AD276" s="13" t="str">
        <f aca="false">IF(G276&lt;&gt;"",300,"")</f>
        <v/>
      </c>
      <c r="AE276" s="15"/>
      <c r="AF276" s="15"/>
      <c r="AG276" s="16"/>
      <c r="AH276" s="16"/>
      <c r="AI276" s="17" t="str">
        <f aca="false">IF(AND(AG276&lt;&gt;"",AH276&lt;&gt;""),(AG276+AH276)/2,"")</f>
        <v/>
      </c>
      <c r="AJ276" s="15"/>
      <c r="AK276" s="15"/>
    </row>
    <row r="277" customFormat="false" ht="15" hidden="false" customHeight="false" outlineLevel="0" collapsed="false">
      <c r="A277" s="2" t="str">
        <f aca="false">IF(E277&lt;&gt;"",ROW()-1,"")</f>
        <v/>
      </c>
      <c r="B277" s="3"/>
      <c r="C277" s="3"/>
      <c r="D277" s="3"/>
      <c r="E277" s="4"/>
      <c r="F277" s="4"/>
      <c r="G277" s="5"/>
      <c r="H277" s="4"/>
      <c r="I277" s="4"/>
      <c r="J277" s="4"/>
      <c r="K277" s="4"/>
      <c r="L277" s="6" t="str">
        <f aca="false">IF(AND(G277&lt;&gt;"",H277&gt;0),ROUND(G277/H277,0),"")</f>
        <v/>
      </c>
      <c r="M277" s="6" t="str">
        <f aca="false">IF(F277&lt;&gt;"",IFERROR(VLOOKUP(F277,TablaRef,2,FALSE()),"?"),"")</f>
        <v/>
      </c>
      <c r="N277" s="7" t="str">
        <f aca="false">IF(AND(L277&lt;&gt;"",M277&lt;&gt;"",ISNUMBER(M277)),IF(L277&lt;M277*(1-MargenPct),"🟢",IF(L277&gt;M277*(1+MargenPct),"🔴","🟡")),"")</f>
        <v/>
      </c>
      <c r="O277" s="8" t="str">
        <f aca="false">IF(G277&lt;&gt;"",W277+X277+Y277+Z277+AB277+AC277+AD277,"")</f>
        <v/>
      </c>
      <c r="P277" s="9" t="str">
        <f aca="false">IF(G277&lt;&gt;"",IF(O277&lt;=Presupuesto,"✓","✗"),"")</f>
        <v/>
      </c>
      <c r="Q277" s="10" t="str">
        <f aca="false">IF(G277&lt;&gt;"",Presupuesto-O277,"")</f>
        <v/>
      </c>
      <c r="R277" s="11"/>
      <c r="S277" s="11"/>
      <c r="T277" s="12"/>
      <c r="U277" s="12"/>
      <c r="V277" s="11"/>
      <c r="W277" s="13" t="str">
        <f aca="false">IF(G277&lt;&gt;"",MAX(G277-Credito,G277*0.1),"")</f>
        <v/>
      </c>
      <c r="X277" s="13" t="str">
        <f aca="false">IF(G277&lt;&gt;"",ROUND(G277*0.02*1.21,0),"")</f>
        <v/>
      </c>
      <c r="Y277" s="13" t="str">
        <f aca="false">IF(G277&lt;&gt;"",IF(G277&lt;=140000,0,ROUND(G277*0.0175,0)),"")</f>
        <v/>
      </c>
      <c r="Z277" s="13" t="str">
        <f aca="false">IF(G277&lt;&gt;"",ROUND(G277*0.004,0),"")</f>
        <v/>
      </c>
      <c r="AA277" s="14"/>
      <c r="AB277" s="13" t="str">
        <f aca="false">IF(G277&lt;&gt;"",IF(AA277="Sí",ROUND(G277*0.04*1.21,0),0),"")</f>
        <v/>
      </c>
      <c r="AC277" s="13" t="str">
        <f aca="false">IF(G277&lt;&gt;"",ROUND(G277*0.01,0),"")</f>
        <v/>
      </c>
      <c r="AD277" s="13" t="str">
        <f aca="false">IF(G277&lt;&gt;"",300,"")</f>
        <v/>
      </c>
      <c r="AE277" s="15"/>
      <c r="AF277" s="15"/>
      <c r="AG277" s="16"/>
      <c r="AH277" s="16"/>
      <c r="AI277" s="17" t="str">
        <f aca="false">IF(AND(AG277&lt;&gt;"",AH277&lt;&gt;""),(AG277+AH277)/2,"")</f>
        <v/>
      </c>
      <c r="AJ277" s="15"/>
      <c r="AK277" s="15"/>
    </row>
    <row r="278" customFormat="false" ht="15" hidden="false" customHeight="false" outlineLevel="0" collapsed="false">
      <c r="A278" s="2" t="str">
        <f aca="false">IF(E278&lt;&gt;"",ROW()-1,"")</f>
        <v/>
      </c>
      <c r="B278" s="3"/>
      <c r="C278" s="3"/>
      <c r="D278" s="3"/>
      <c r="E278" s="4"/>
      <c r="F278" s="4"/>
      <c r="G278" s="5"/>
      <c r="H278" s="4"/>
      <c r="I278" s="4"/>
      <c r="J278" s="4"/>
      <c r="K278" s="4"/>
      <c r="L278" s="6" t="str">
        <f aca="false">IF(AND(G278&lt;&gt;"",H278&gt;0),ROUND(G278/H278,0),"")</f>
        <v/>
      </c>
      <c r="M278" s="6" t="str">
        <f aca="false">IF(F278&lt;&gt;"",IFERROR(VLOOKUP(F278,TablaRef,2,FALSE()),"?"),"")</f>
        <v/>
      </c>
      <c r="N278" s="7" t="str">
        <f aca="false">IF(AND(L278&lt;&gt;"",M278&lt;&gt;"",ISNUMBER(M278)),IF(L278&lt;M278*(1-MargenPct),"🟢",IF(L278&gt;M278*(1+MargenPct),"🔴","🟡")),"")</f>
        <v/>
      </c>
      <c r="O278" s="8" t="str">
        <f aca="false">IF(G278&lt;&gt;"",W278+X278+Y278+Z278+AB278+AC278+AD278,"")</f>
        <v/>
      </c>
      <c r="P278" s="9" t="str">
        <f aca="false">IF(G278&lt;&gt;"",IF(O278&lt;=Presupuesto,"✓","✗"),"")</f>
        <v/>
      </c>
      <c r="Q278" s="10" t="str">
        <f aca="false">IF(G278&lt;&gt;"",Presupuesto-O278,"")</f>
        <v/>
      </c>
      <c r="R278" s="11"/>
      <c r="S278" s="11"/>
      <c r="T278" s="12"/>
      <c r="U278" s="12"/>
      <c r="V278" s="11"/>
      <c r="W278" s="13" t="str">
        <f aca="false">IF(G278&lt;&gt;"",MAX(G278-Credito,G278*0.1),"")</f>
        <v/>
      </c>
      <c r="X278" s="13" t="str">
        <f aca="false">IF(G278&lt;&gt;"",ROUND(G278*0.02*1.21,0),"")</f>
        <v/>
      </c>
      <c r="Y278" s="13" t="str">
        <f aca="false">IF(G278&lt;&gt;"",IF(G278&lt;=140000,0,ROUND(G278*0.0175,0)),"")</f>
        <v/>
      </c>
      <c r="Z278" s="13" t="str">
        <f aca="false">IF(G278&lt;&gt;"",ROUND(G278*0.004,0),"")</f>
        <v/>
      </c>
      <c r="AA278" s="14"/>
      <c r="AB278" s="13" t="str">
        <f aca="false">IF(G278&lt;&gt;"",IF(AA278="Sí",ROUND(G278*0.04*1.21,0),0),"")</f>
        <v/>
      </c>
      <c r="AC278" s="13" t="str">
        <f aca="false">IF(G278&lt;&gt;"",ROUND(G278*0.01,0),"")</f>
        <v/>
      </c>
      <c r="AD278" s="13" t="str">
        <f aca="false">IF(G278&lt;&gt;"",300,"")</f>
        <v/>
      </c>
      <c r="AE278" s="15"/>
      <c r="AF278" s="15"/>
      <c r="AG278" s="16"/>
      <c r="AH278" s="16"/>
      <c r="AI278" s="17" t="str">
        <f aca="false">IF(AND(AG278&lt;&gt;"",AH278&lt;&gt;""),(AG278+AH278)/2,"")</f>
        <v/>
      </c>
      <c r="AJ278" s="15"/>
      <c r="AK278" s="15"/>
    </row>
    <row r="279" customFormat="false" ht="15" hidden="false" customHeight="false" outlineLevel="0" collapsed="false">
      <c r="A279" s="2" t="str">
        <f aca="false">IF(E279&lt;&gt;"",ROW()-1,"")</f>
        <v/>
      </c>
      <c r="B279" s="3"/>
      <c r="C279" s="3"/>
      <c r="D279" s="3"/>
      <c r="E279" s="4"/>
      <c r="F279" s="4"/>
      <c r="G279" s="5"/>
      <c r="H279" s="4"/>
      <c r="I279" s="4"/>
      <c r="J279" s="4"/>
      <c r="K279" s="4"/>
      <c r="L279" s="6" t="str">
        <f aca="false">IF(AND(G279&lt;&gt;"",H279&gt;0),ROUND(G279/H279,0),"")</f>
        <v/>
      </c>
      <c r="M279" s="6" t="str">
        <f aca="false">IF(F279&lt;&gt;"",IFERROR(VLOOKUP(F279,TablaRef,2,FALSE()),"?"),"")</f>
        <v/>
      </c>
      <c r="N279" s="7" t="str">
        <f aca="false">IF(AND(L279&lt;&gt;"",M279&lt;&gt;"",ISNUMBER(M279)),IF(L279&lt;M279*(1-MargenPct),"🟢",IF(L279&gt;M279*(1+MargenPct),"🔴","🟡")),"")</f>
        <v/>
      </c>
      <c r="O279" s="8" t="str">
        <f aca="false">IF(G279&lt;&gt;"",W279+X279+Y279+Z279+AB279+AC279+AD279,"")</f>
        <v/>
      </c>
      <c r="P279" s="9" t="str">
        <f aca="false">IF(G279&lt;&gt;"",IF(O279&lt;=Presupuesto,"✓","✗"),"")</f>
        <v/>
      </c>
      <c r="Q279" s="10" t="str">
        <f aca="false">IF(G279&lt;&gt;"",Presupuesto-O279,"")</f>
        <v/>
      </c>
      <c r="R279" s="11"/>
      <c r="S279" s="11"/>
      <c r="T279" s="12"/>
      <c r="U279" s="12"/>
      <c r="V279" s="11"/>
      <c r="W279" s="13" t="str">
        <f aca="false">IF(G279&lt;&gt;"",MAX(G279-Credito,G279*0.1),"")</f>
        <v/>
      </c>
      <c r="X279" s="13" t="str">
        <f aca="false">IF(G279&lt;&gt;"",ROUND(G279*0.02*1.21,0),"")</f>
        <v/>
      </c>
      <c r="Y279" s="13" t="str">
        <f aca="false">IF(G279&lt;&gt;"",IF(G279&lt;=140000,0,ROUND(G279*0.0175,0)),"")</f>
        <v/>
      </c>
      <c r="Z279" s="13" t="str">
        <f aca="false">IF(G279&lt;&gt;"",ROUND(G279*0.004,0),"")</f>
        <v/>
      </c>
      <c r="AA279" s="14"/>
      <c r="AB279" s="13" t="str">
        <f aca="false">IF(G279&lt;&gt;"",IF(AA279="Sí",ROUND(G279*0.04*1.21,0),0),"")</f>
        <v/>
      </c>
      <c r="AC279" s="13" t="str">
        <f aca="false">IF(G279&lt;&gt;"",ROUND(G279*0.01,0),"")</f>
        <v/>
      </c>
      <c r="AD279" s="13" t="str">
        <f aca="false">IF(G279&lt;&gt;"",300,"")</f>
        <v/>
      </c>
      <c r="AE279" s="15"/>
      <c r="AF279" s="15"/>
      <c r="AG279" s="16"/>
      <c r="AH279" s="16"/>
      <c r="AI279" s="17" t="str">
        <f aca="false">IF(AND(AG279&lt;&gt;"",AH279&lt;&gt;""),(AG279+AH279)/2,"")</f>
        <v/>
      </c>
      <c r="AJ279" s="15"/>
      <c r="AK279" s="15"/>
    </row>
    <row r="280" customFormat="false" ht="15" hidden="false" customHeight="false" outlineLevel="0" collapsed="false">
      <c r="A280" s="2" t="str">
        <f aca="false">IF(E280&lt;&gt;"",ROW()-1,"")</f>
        <v/>
      </c>
      <c r="B280" s="3"/>
      <c r="C280" s="3"/>
      <c r="D280" s="3"/>
      <c r="E280" s="4"/>
      <c r="F280" s="4"/>
      <c r="G280" s="5"/>
      <c r="H280" s="4"/>
      <c r="I280" s="4"/>
      <c r="J280" s="4"/>
      <c r="K280" s="4"/>
      <c r="L280" s="6" t="str">
        <f aca="false">IF(AND(G280&lt;&gt;"",H280&gt;0),ROUND(G280/H280,0),"")</f>
        <v/>
      </c>
      <c r="M280" s="6" t="str">
        <f aca="false">IF(F280&lt;&gt;"",IFERROR(VLOOKUP(F280,TablaRef,2,FALSE()),"?"),"")</f>
        <v/>
      </c>
      <c r="N280" s="7" t="str">
        <f aca="false">IF(AND(L280&lt;&gt;"",M280&lt;&gt;"",ISNUMBER(M280)),IF(L280&lt;M280*(1-MargenPct),"🟢",IF(L280&gt;M280*(1+MargenPct),"🔴","🟡")),"")</f>
        <v/>
      </c>
      <c r="O280" s="8" t="str">
        <f aca="false">IF(G280&lt;&gt;"",W280+X280+Y280+Z280+AB280+AC280+AD280,"")</f>
        <v/>
      </c>
      <c r="P280" s="9" t="str">
        <f aca="false">IF(G280&lt;&gt;"",IF(O280&lt;=Presupuesto,"✓","✗"),"")</f>
        <v/>
      </c>
      <c r="Q280" s="10" t="str">
        <f aca="false">IF(G280&lt;&gt;"",Presupuesto-O280,"")</f>
        <v/>
      </c>
      <c r="R280" s="11"/>
      <c r="S280" s="11"/>
      <c r="T280" s="12"/>
      <c r="U280" s="12"/>
      <c r="V280" s="11"/>
      <c r="W280" s="13" t="str">
        <f aca="false">IF(G280&lt;&gt;"",MAX(G280-Credito,G280*0.1),"")</f>
        <v/>
      </c>
      <c r="X280" s="13" t="str">
        <f aca="false">IF(G280&lt;&gt;"",ROUND(G280*0.02*1.21,0),"")</f>
        <v/>
      </c>
      <c r="Y280" s="13" t="str">
        <f aca="false">IF(G280&lt;&gt;"",IF(G280&lt;=140000,0,ROUND(G280*0.0175,0)),"")</f>
        <v/>
      </c>
      <c r="Z280" s="13" t="str">
        <f aca="false">IF(G280&lt;&gt;"",ROUND(G280*0.004,0),"")</f>
        <v/>
      </c>
      <c r="AA280" s="14"/>
      <c r="AB280" s="13" t="str">
        <f aca="false">IF(G280&lt;&gt;"",IF(AA280="Sí",ROUND(G280*0.04*1.21,0),0),"")</f>
        <v/>
      </c>
      <c r="AC280" s="13" t="str">
        <f aca="false">IF(G280&lt;&gt;"",ROUND(G280*0.01,0),"")</f>
        <v/>
      </c>
      <c r="AD280" s="13" t="str">
        <f aca="false">IF(G280&lt;&gt;"",300,"")</f>
        <v/>
      </c>
      <c r="AE280" s="15"/>
      <c r="AF280" s="15"/>
      <c r="AG280" s="16"/>
      <c r="AH280" s="16"/>
      <c r="AI280" s="17" t="str">
        <f aca="false">IF(AND(AG280&lt;&gt;"",AH280&lt;&gt;""),(AG280+AH280)/2,"")</f>
        <v/>
      </c>
      <c r="AJ280" s="15"/>
      <c r="AK280" s="15"/>
    </row>
    <row r="281" customFormat="false" ht="15" hidden="false" customHeight="false" outlineLevel="0" collapsed="false">
      <c r="A281" s="2" t="str">
        <f aca="false">IF(E281&lt;&gt;"",ROW()-1,"")</f>
        <v/>
      </c>
      <c r="B281" s="3"/>
      <c r="C281" s="3"/>
      <c r="D281" s="3"/>
      <c r="E281" s="4"/>
      <c r="F281" s="4"/>
      <c r="G281" s="5"/>
      <c r="H281" s="4"/>
      <c r="I281" s="4"/>
      <c r="J281" s="4"/>
      <c r="K281" s="4"/>
      <c r="L281" s="6" t="str">
        <f aca="false">IF(AND(G281&lt;&gt;"",H281&gt;0),ROUND(G281/H281,0),"")</f>
        <v/>
      </c>
      <c r="M281" s="6" t="str">
        <f aca="false">IF(F281&lt;&gt;"",IFERROR(VLOOKUP(F281,TablaRef,2,FALSE()),"?"),"")</f>
        <v/>
      </c>
      <c r="N281" s="7" t="str">
        <f aca="false">IF(AND(L281&lt;&gt;"",M281&lt;&gt;"",ISNUMBER(M281)),IF(L281&lt;M281*(1-MargenPct),"🟢",IF(L281&gt;M281*(1+MargenPct),"🔴","🟡")),"")</f>
        <v/>
      </c>
      <c r="O281" s="8" t="str">
        <f aca="false">IF(G281&lt;&gt;"",W281+X281+Y281+Z281+AB281+AC281+AD281,"")</f>
        <v/>
      </c>
      <c r="P281" s="9" t="str">
        <f aca="false">IF(G281&lt;&gt;"",IF(O281&lt;=Presupuesto,"✓","✗"),"")</f>
        <v/>
      </c>
      <c r="Q281" s="10" t="str">
        <f aca="false">IF(G281&lt;&gt;"",Presupuesto-O281,"")</f>
        <v/>
      </c>
      <c r="R281" s="11"/>
      <c r="S281" s="11"/>
      <c r="T281" s="12"/>
      <c r="U281" s="12"/>
      <c r="V281" s="11"/>
      <c r="W281" s="13" t="str">
        <f aca="false">IF(G281&lt;&gt;"",MAX(G281-Credito,G281*0.1),"")</f>
        <v/>
      </c>
      <c r="X281" s="13" t="str">
        <f aca="false">IF(G281&lt;&gt;"",ROUND(G281*0.02*1.21,0),"")</f>
        <v/>
      </c>
      <c r="Y281" s="13" t="str">
        <f aca="false">IF(G281&lt;&gt;"",IF(G281&lt;=140000,0,ROUND(G281*0.0175,0)),"")</f>
        <v/>
      </c>
      <c r="Z281" s="13" t="str">
        <f aca="false">IF(G281&lt;&gt;"",ROUND(G281*0.004,0),"")</f>
        <v/>
      </c>
      <c r="AA281" s="14"/>
      <c r="AB281" s="13" t="str">
        <f aca="false">IF(G281&lt;&gt;"",IF(AA281="Sí",ROUND(G281*0.04*1.21,0),0),"")</f>
        <v/>
      </c>
      <c r="AC281" s="13" t="str">
        <f aca="false">IF(G281&lt;&gt;"",ROUND(G281*0.01,0),"")</f>
        <v/>
      </c>
      <c r="AD281" s="13" t="str">
        <f aca="false">IF(G281&lt;&gt;"",300,"")</f>
        <v/>
      </c>
      <c r="AE281" s="15"/>
      <c r="AF281" s="15"/>
      <c r="AG281" s="16"/>
      <c r="AH281" s="16"/>
      <c r="AI281" s="17" t="str">
        <f aca="false">IF(AND(AG281&lt;&gt;"",AH281&lt;&gt;""),(AG281+AH281)/2,"")</f>
        <v/>
      </c>
      <c r="AJ281" s="15"/>
      <c r="AK281" s="15"/>
    </row>
    <row r="282" customFormat="false" ht="15" hidden="false" customHeight="false" outlineLevel="0" collapsed="false">
      <c r="A282" s="2" t="str">
        <f aca="false">IF(E282&lt;&gt;"",ROW()-1,"")</f>
        <v/>
      </c>
      <c r="B282" s="3"/>
      <c r="C282" s="3"/>
      <c r="D282" s="3"/>
      <c r="E282" s="4"/>
      <c r="F282" s="4"/>
      <c r="G282" s="5"/>
      <c r="H282" s="4"/>
      <c r="I282" s="4"/>
      <c r="J282" s="4"/>
      <c r="K282" s="4"/>
      <c r="L282" s="6" t="str">
        <f aca="false">IF(AND(G282&lt;&gt;"",H282&gt;0),ROUND(G282/H282,0),"")</f>
        <v/>
      </c>
      <c r="M282" s="6" t="str">
        <f aca="false">IF(F282&lt;&gt;"",IFERROR(VLOOKUP(F282,TablaRef,2,FALSE()),"?"),"")</f>
        <v/>
      </c>
      <c r="N282" s="7" t="str">
        <f aca="false">IF(AND(L282&lt;&gt;"",M282&lt;&gt;"",ISNUMBER(M282)),IF(L282&lt;M282*(1-MargenPct),"🟢",IF(L282&gt;M282*(1+MargenPct),"🔴","🟡")),"")</f>
        <v/>
      </c>
      <c r="O282" s="8" t="str">
        <f aca="false">IF(G282&lt;&gt;"",W282+X282+Y282+Z282+AB282+AC282+AD282,"")</f>
        <v/>
      </c>
      <c r="P282" s="9" t="str">
        <f aca="false">IF(G282&lt;&gt;"",IF(O282&lt;=Presupuesto,"✓","✗"),"")</f>
        <v/>
      </c>
      <c r="Q282" s="10" t="str">
        <f aca="false">IF(G282&lt;&gt;"",Presupuesto-O282,"")</f>
        <v/>
      </c>
      <c r="R282" s="11"/>
      <c r="S282" s="11"/>
      <c r="T282" s="12"/>
      <c r="U282" s="12"/>
      <c r="V282" s="11"/>
      <c r="W282" s="13" t="str">
        <f aca="false">IF(G282&lt;&gt;"",MAX(G282-Credito,G282*0.1),"")</f>
        <v/>
      </c>
      <c r="X282" s="13" t="str">
        <f aca="false">IF(G282&lt;&gt;"",ROUND(G282*0.02*1.21,0),"")</f>
        <v/>
      </c>
      <c r="Y282" s="13" t="str">
        <f aca="false">IF(G282&lt;&gt;"",IF(G282&lt;=140000,0,ROUND(G282*0.0175,0)),"")</f>
        <v/>
      </c>
      <c r="Z282" s="13" t="str">
        <f aca="false">IF(G282&lt;&gt;"",ROUND(G282*0.004,0),"")</f>
        <v/>
      </c>
      <c r="AA282" s="14"/>
      <c r="AB282" s="13" t="str">
        <f aca="false">IF(G282&lt;&gt;"",IF(AA282="Sí",ROUND(G282*0.04*1.21,0),0),"")</f>
        <v/>
      </c>
      <c r="AC282" s="13" t="str">
        <f aca="false">IF(G282&lt;&gt;"",ROUND(G282*0.01,0),"")</f>
        <v/>
      </c>
      <c r="AD282" s="13" t="str">
        <f aca="false">IF(G282&lt;&gt;"",300,"")</f>
        <v/>
      </c>
      <c r="AE282" s="15"/>
      <c r="AF282" s="15"/>
      <c r="AG282" s="16"/>
      <c r="AH282" s="16"/>
      <c r="AI282" s="17" t="str">
        <f aca="false">IF(AND(AG282&lt;&gt;"",AH282&lt;&gt;""),(AG282+AH282)/2,"")</f>
        <v/>
      </c>
      <c r="AJ282" s="15"/>
      <c r="AK282" s="15"/>
    </row>
    <row r="283" customFormat="false" ht="15" hidden="false" customHeight="false" outlineLevel="0" collapsed="false">
      <c r="A283" s="2" t="str">
        <f aca="false">IF(E283&lt;&gt;"",ROW()-1,"")</f>
        <v/>
      </c>
      <c r="B283" s="3"/>
      <c r="C283" s="3"/>
      <c r="D283" s="3"/>
      <c r="E283" s="4"/>
      <c r="F283" s="4"/>
      <c r="G283" s="5"/>
      <c r="H283" s="4"/>
      <c r="I283" s="4"/>
      <c r="J283" s="4"/>
      <c r="K283" s="4"/>
      <c r="L283" s="6" t="str">
        <f aca="false">IF(AND(G283&lt;&gt;"",H283&gt;0),ROUND(G283/H283,0),"")</f>
        <v/>
      </c>
      <c r="M283" s="6" t="str">
        <f aca="false">IF(F283&lt;&gt;"",IFERROR(VLOOKUP(F283,TablaRef,2,FALSE()),"?"),"")</f>
        <v/>
      </c>
      <c r="N283" s="7" t="str">
        <f aca="false">IF(AND(L283&lt;&gt;"",M283&lt;&gt;"",ISNUMBER(M283)),IF(L283&lt;M283*(1-MargenPct),"🟢",IF(L283&gt;M283*(1+MargenPct),"🔴","🟡")),"")</f>
        <v/>
      </c>
      <c r="O283" s="8" t="str">
        <f aca="false">IF(G283&lt;&gt;"",W283+X283+Y283+Z283+AB283+AC283+AD283,"")</f>
        <v/>
      </c>
      <c r="P283" s="9" t="str">
        <f aca="false">IF(G283&lt;&gt;"",IF(O283&lt;=Presupuesto,"✓","✗"),"")</f>
        <v/>
      </c>
      <c r="Q283" s="10" t="str">
        <f aca="false">IF(G283&lt;&gt;"",Presupuesto-O283,"")</f>
        <v/>
      </c>
      <c r="R283" s="11"/>
      <c r="S283" s="11"/>
      <c r="T283" s="12"/>
      <c r="U283" s="12"/>
      <c r="V283" s="11"/>
      <c r="W283" s="13" t="str">
        <f aca="false">IF(G283&lt;&gt;"",MAX(G283-Credito,G283*0.1),"")</f>
        <v/>
      </c>
      <c r="X283" s="13" t="str">
        <f aca="false">IF(G283&lt;&gt;"",ROUND(G283*0.02*1.21,0),"")</f>
        <v/>
      </c>
      <c r="Y283" s="13" t="str">
        <f aca="false">IF(G283&lt;&gt;"",IF(G283&lt;=140000,0,ROUND(G283*0.0175,0)),"")</f>
        <v/>
      </c>
      <c r="Z283" s="13" t="str">
        <f aca="false">IF(G283&lt;&gt;"",ROUND(G283*0.004,0),"")</f>
        <v/>
      </c>
      <c r="AA283" s="14"/>
      <c r="AB283" s="13" t="str">
        <f aca="false">IF(G283&lt;&gt;"",IF(AA283="Sí",ROUND(G283*0.04*1.21,0),0),"")</f>
        <v/>
      </c>
      <c r="AC283" s="13" t="str">
        <f aca="false">IF(G283&lt;&gt;"",ROUND(G283*0.01,0),"")</f>
        <v/>
      </c>
      <c r="AD283" s="13" t="str">
        <f aca="false">IF(G283&lt;&gt;"",300,"")</f>
        <v/>
      </c>
      <c r="AE283" s="15"/>
      <c r="AF283" s="15"/>
      <c r="AG283" s="16"/>
      <c r="AH283" s="16"/>
      <c r="AI283" s="17" t="str">
        <f aca="false">IF(AND(AG283&lt;&gt;"",AH283&lt;&gt;""),(AG283+AH283)/2,"")</f>
        <v/>
      </c>
      <c r="AJ283" s="15"/>
      <c r="AK283" s="15"/>
    </row>
    <row r="284" customFormat="false" ht="15" hidden="false" customHeight="false" outlineLevel="0" collapsed="false">
      <c r="A284" s="2" t="str">
        <f aca="false">IF(E284&lt;&gt;"",ROW()-1,"")</f>
        <v/>
      </c>
      <c r="B284" s="3"/>
      <c r="C284" s="3"/>
      <c r="D284" s="3"/>
      <c r="E284" s="4"/>
      <c r="F284" s="4"/>
      <c r="G284" s="5"/>
      <c r="H284" s="4"/>
      <c r="I284" s="4"/>
      <c r="J284" s="4"/>
      <c r="K284" s="4"/>
      <c r="L284" s="6" t="str">
        <f aca="false">IF(AND(G284&lt;&gt;"",H284&gt;0),ROUND(G284/H284,0),"")</f>
        <v/>
      </c>
      <c r="M284" s="6" t="str">
        <f aca="false">IF(F284&lt;&gt;"",IFERROR(VLOOKUP(F284,TablaRef,2,FALSE()),"?"),"")</f>
        <v/>
      </c>
      <c r="N284" s="7" t="str">
        <f aca="false">IF(AND(L284&lt;&gt;"",M284&lt;&gt;"",ISNUMBER(M284)),IF(L284&lt;M284*(1-MargenPct),"🟢",IF(L284&gt;M284*(1+MargenPct),"🔴","🟡")),"")</f>
        <v/>
      </c>
      <c r="O284" s="8" t="str">
        <f aca="false">IF(G284&lt;&gt;"",W284+X284+Y284+Z284+AB284+AC284+AD284,"")</f>
        <v/>
      </c>
      <c r="P284" s="9" t="str">
        <f aca="false">IF(G284&lt;&gt;"",IF(O284&lt;=Presupuesto,"✓","✗"),"")</f>
        <v/>
      </c>
      <c r="Q284" s="10" t="str">
        <f aca="false">IF(G284&lt;&gt;"",Presupuesto-O284,"")</f>
        <v/>
      </c>
      <c r="R284" s="11"/>
      <c r="S284" s="11"/>
      <c r="T284" s="12"/>
      <c r="U284" s="12"/>
      <c r="V284" s="11"/>
      <c r="W284" s="13" t="str">
        <f aca="false">IF(G284&lt;&gt;"",MAX(G284-Credito,G284*0.1),"")</f>
        <v/>
      </c>
      <c r="X284" s="13" t="str">
        <f aca="false">IF(G284&lt;&gt;"",ROUND(G284*0.02*1.21,0),"")</f>
        <v/>
      </c>
      <c r="Y284" s="13" t="str">
        <f aca="false">IF(G284&lt;&gt;"",IF(G284&lt;=140000,0,ROUND(G284*0.0175,0)),"")</f>
        <v/>
      </c>
      <c r="Z284" s="13" t="str">
        <f aca="false">IF(G284&lt;&gt;"",ROUND(G284*0.004,0),"")</f>
        <v/>
      </c>
      <c r="AA284" s="14"/>
      <c r="AB284" s="13" t="str">
        <f aca="false">IF(G284&lt;&gt;"",IF(AA284="Sí",ROUND(G284*0.04*1.21,0),0),"")</f>
        <v/>
      </c>
      <c r="AC284" s="13" t="str">
        <f aca="false">IF(G284&lt;&gt;"",ROUND(G284*0.01,0),"")</f>
        <v/>
      </c>
      <c r="AD284" s="13" t="str">
        <f aca="false">IF(G284&lt;&gt;"",300,"")</f>
        <v/>
      </c>
      <c r="AE284" s="15"/>
      <c r="AF284" s="15"/>
      <c r="AG284" s="16"/>
      <c r="AH284" s="16"/>
      <c r="AI284" s="17" t="str">
        <f aca="false">IF(AND(AG284&lt;&gt;"",AH284&lt;&gt;""),(AG284+AH284)/2,"")</f>
        <v/>
      </c>
      <c r="AJ284" s="15"/>
      <c r="AK284" s="15"/>
    </row>
    <row r="285" customFormat="false" ht="15" hidden="false" customHeight="false" outlineLevel="0" collapsed="false">
      <c r="A285" s="2" t="str">
        <f aca="false">IF(E285&lt;&gt;"",ROW()-1,"")</f>
        <v/>
      </c>
      <c r="B285" s="3"/>
      <c r="C285" s="3"/>
      <c r="D285" s="3"/>
      <c r="E285" s="4"/>
      <c r="F285" s="4"/>
      <c r="G285" s="5"/>
      <c r="H285" s="4"/>
      <c r="I285" s="4"/>
      <c r="J285" s="4"/>
      <c r="K285" s="4"/>
      <c r="L285" s="6" t="str">
        <f aca="false">IF(AND(G285&lt;&gt;"",H285&gt;0),ROUND(G285/H285,0),"")</f>
        <v/>
      </c>
      <c r="M285" s="6" t="str">
        <f aca="false">IF(F285&lt;&gt;"",IFERROR(VLOOKUP(F285,TablaRef,2,FALSE()),"?"),"")</f>
        <v/>
      </c>
      <c r="N285" s="7" t="str">
        <f aca="false">IF(AND(L285&lt;&gt;"",M285&lt;&gt;"",ISNUMBER(M285)),IF(L285&lt;M285*(1-MargenPct),"🟢",IF(L285&gt;M285*(1+MargenPct),"🔴","🟡")),"")</f>
        <v/>
      </c>
      <c r="O285" s="8" t="str">
        <f aca="false">IF(G285&lt;&gt;"",W285+X285+Y285+Z285+AB285+AC285+AD285,"")</f>
        <v/>
      </c>
      <c r="P285" s="9" t="str">
        <f aca="false">IF(G285&lt;&gt;"",IF(O285&lt;=Presupuesto,"✓","✗"),"")</f>
        <v/>
      </c>
      <c r="Q285" s="10" t="str">
        <f aca="false">IF(G285&lt;&gt;"",Presupuesto-O285,"")</f>
        <v/>
      </c>
      <c r="R285" s="11"/>
      <c r="S285" s="11"/>
      <c r="T285" s="12"/>
      <c r="U285" s="12"/>
      <c r="V285" s="11"/>
      <c r="W285" s="13" t="str">
        <f aca="false">IF(G285&lt;&gt;"",MAX(G285-Credito,G285*0.1),"")</f>
        <v/>
      </c>
      <c r="X285" s="13" t="str">
        <f aca="false">IF(G285&lt;&gt;"",ROUND(G285*0.02*1.21,0),"")</f>
        <v/>
      </c>
      <c r="Y285" s="13" t="str">
        <f aca="false">IF(G285&lt;&gt;"",IF(G285&lt;=140000,0,ROUND(G285*0.0175,0)),"")</f>
        <v/>
      </c>
      <c r="Z285" s="13" t="str">
        <f aca="false">IF(G285&lt;&gt;"",ROUND(G285*0.004,0),"")</f>
        <v/>
      </c>
      <c r="AA285" s="14"/>
      <c r="AB285" s="13" t="str">
        <f aca="false">IF(G285&lt;&gt;"",IF(AA285="Sí",ROUND(G285*0.04*1.21,0),0),"")</f>
        <v/>
      </c>
      <c r="AC285" s="13" t="str">
        <f aca="false">IF(G285&lt;&gt;"",ROUND(G285*0.01,0),"")</f>
        <v/>
      </c>
      <c r="AD285" s="13" t="str">
        <f aca="false">IF(G285&lt;&gt;"",300,"")</f>
        <v/>
      </c>
      <c r="AE285" s="15"/>
      <c r="AF285" s="15"/>
      <c r="AG285" s="16"/>
      <c r="AH285" s="16"/>
      <c r="AI285" s="17" t="str">
        <f aca="false">IF(AND(AG285&lt;&gt;"",AH285&lt;&gt;""),(AG285+AH285)/2,"")</f>
        <v/>
      </c>
      <c r="AJ285" s="15"/>
      <c r="AK285" s="15"/>
    </row>
    <row r="286" customFormat="false" ht="15" hidden="false" customHeight="false" outlineLevel="0" collapsed="false">
      <c r="A286" s="2" t="str">
        <f aca="false">IF(E286&lt;&gt;"",ROW()-1,"")</f>
        <v/>
      </c>
      <c r="B286" s="3"/>
      <c r="C286" s="3"/>
      <c r="D286" s="3"/>
      <c r="E286" s="4"/>
      <c r="F286" s="4"/>
      <c r="G286" s="5"/>
      <c r="H286" s="4"/>
      <c r="I286" s="4"/>
      <c r="J286" s="4"/>
      <c r="K286" s="4"/>
      <c r="L286" s="6" t="str">
        <f aca="false">IF(AND(G286&lt;&gt;"",H286&gt;0),ROUND(G286/H286,0),"")</f>
        <v/>
      </c>
      <c r="M286" s="6" t="str">
        <f aca="false">IF(F286&lt;&gt;"",IFERROR(VLOOKUP(F286,TablaRef,2,FALSE()),"?"),"")</f>
        <v/>
      </c>
      <c r="N286" s="7" t="str">
        <f aca="false">IF(AND(L286&lt;&gt;"",M286&lt;&gt;"",ISNUMBER(M286)),IF(L286&lt;M286*(1-MargenPct),"🟢",IF(L286&gt;M286*(1+MargenPct),"🔴","🟡")),"")</f>
        <v/>
      </c>
      <c r="O286" s="8" t="str">
        <f aca="false">IF(G286&lt;&gt;"",W286+X286+Y286+Z286+AB286+AC286+AD286,"")</f>
        <v/>
      </c>
      <c r="P286" s="9" t="str">
        <f aca="false">IF(G286&lt;&gt;"",IF(O286&lt;=Presupuesto,"✓","✗"),"")</f>
        <v/>
      </c>
      <c r="Q286" s="10" t="str">
        <f aca="false">IF(G286&lt;&gt;"",Presupuesto-O286,"")</f>
        <v/>
      </c>
      <c r="R286" s="11"/>
      <c r="S286" s="11"/>
      <c r="T286" s="12"/>
      <c r="U286" s="12"/>
      <c r="V286" s="11"/>
      <c r="W286" s="13" t="str">
        <f aca="false">IF(G286&lt;&gt;"",MAX(G286-Credito,G286*0.1),"")</f>
        <v/>
      </c>
      <c r="X286" s="13" t="str">
        <f aca="false">IF(G286&lt;&gt;"",ROUND(G286*0.02*1.21,0),"")</f>
        <v/>
      </c>
      <c r="Y286" s="13" t="str">
        <f aca="false">IF(G286&lt;&gt;"",IF(G286&lt;=140000,0,ROUND(G286*0.0175,0)),"")</f>
        <v/>
      </c>
      <c r="Z286" s="13" t="str">
        <f aca="false">IF(G286&lt;&gt;"",ROUND(G286*0.004,0),"")</f>
        <v/>
      </c>
      <c r="AA286" s="14"/>
      <c r="AB286" s="13" t="str">
        <f aca="false">IF(G286&lt;&gt;"",IF(AA286="Sí",ROUND(G286*0.04*1.21,0),0),"")</f>
        <v/>
      </c>
      <c r="AC286" s="13" t="str">
        <f aca="false">IF(G286&lt;&gt;"",ROUND(G286*0.01,0),"")</f>
        <v/>
      </c>
      <c r="AD286" s="13" t="str">
        <f aca="false">IF(G286&lt;&gt;"",300,"")</f>
        <v/>
      </c>
      <c r="AE286" s="15"/>
      <c r="AF286" s="15"/>
      <c r="AG286" s="16"/>
      <c r="AH286" s="16"/>
      <c r="AI286" s="17" t="str">
        <f aca="false">IF(AND(AG286&lt;&gt;"",AH286&lt;&gt;""),(AG286+AH286)/2,"")</f>
        <v/>
      </c>
      <c r="AJ286" s="15"/>
      <c r="AK286" s="15"/>
    </row>
    <row r="287" customFormat="false" ht="15" hidden="false" customHeight="false" outlineLevel="0" collapsed="false">
      <c r="A287" s="2" t="str">
        <f aca="false">IF(E287&lt;&gt;"",ROW()-1,"")</f>
        <v/>
      </c>
      <c r="B287" s="3"/>
      <c r="C287" s="3"/>
      <c r="D287" s="3"/>
      <c r="E287" s="4"/>
      <c r="F287" s="4"/>
      <c r="G287" s="5"/>
      <c r="H287" s="4"/>
      <c r="I287" s="4"/>
      <c r="J287" s="4"/>
      <c r="K287" s="4"/>
      <c r="L287" s="6" t="str">
        <f aca="false">IF(AND(G287&lt;&gt;"",H287&gt;0),ROUND(G287/H287,0),"")</f>
        <v/>
      </c>
      <c r="M287" s="6" t="str">
        <f aca="false">IF(F287&lt;&gt;"",IFERROR(VLOOKUP(F287,TablaRef,2,FALSE()),"?"),"")</f>
        <v/>
      </c>
      <c r="N287" s="7" t="str">
        <f aca="false">IF(AND(L287&lt;&gt;"",M287&lt;&gt;"",ISNUMBER(M287)),IF(L287&lt;M287*(1-MargenPct),"🟢",IF(L287&gt;M287*(1+MargenPct),"🔴","🟡")),"")</f>
        <v/>
      </c>
      <c r="O287" s="8" t="str">
        <f aca="false">IF(G287&lt;&gt;"",W287+X287+Y287+Z287+AB287+AC287+AD287,"")</f>
        <v/>
      </c>
      <c r="P287" s="9" t="str">
        <f aca="false">IF(G287&lt;&gt;"",IF(O287&lt;=Presupuesto,"✓","✗"),"")</f>
        <v/>
      </c>
      <c r="Q287" s="10" t="str">
        <f aca="false">IF(G287&lt;&gt;"",Presupuesto-O287,"")</f>
        <v/>
      </c>
      <c r="R287" s="11"/>
      <c r="S287" s="11"/>
      <c r="T287" s="12"/>
      <c r="U287" s="12"/>
      <c r="V287" s="11"/>
      <c r="W287" s="13" t="str">
        <f aca="false">IF(G287&lt;&gt;"",MAX(G287-Credito,G287*0.1),"")</f>
        <v/>
      </c>
      <c r="X287" s="13" t="str">
        <f aca="false">IF(G287&lt;&gt;"",ROUND(G287*0.02*1.21,0),"")</f>
        <v/>
      </c>
      <c r="Y287" s="13" t="str">
        <f aca="false">IF(G287&lt;&gt;"",IF(G287&lt;=140000,0,ROUND(G287*0.0175,0)),"")</f>
        <v/>
      </c>
      <c r="Z287" s="13" t="str">
        <f aca="false">IF(G287&lt;&gt;"",ROUND(G287*0.004,0),"")</f>
        <v/>
      </c>
      <c r="AA287" s="14"/>
      <c r="AB287" s="13" t="str">
        <f aca="false">IF(G287&lt;&gt;"",IF(AA287="Sí",ROUND(G287*0.04*1.21,0),0),"")</f>
        <v/>
      </c>
      <c r="AC287" s="13" t="str">
        <f aca="false">IF(G287&lt;&gt;"",ROUND(G287*0.01,0),"")</f>
        <v/>
      </c>
      <c r="AD287" s="13" t="str">
        <f aca="false">IF(G287&lt;&gt;"",300,"")</f>
        <v/>
      </c>
      <c r="AE287" s="15"/>
      <c r="AF287" s="15"/>
      <c r="AG287" s="16"/>
      <c r="AH287" s="16"/>
      <c r="AI287" s="17" t="str">
        <f aca="false">IF(AND(AG287&lt;&gt;"",AH287&lt;&gt;""),(AG287+AH287)/2,"")</f>
        <v/>
      </c>
      <c r="AJ287" s="15"/>
      <c r="AK287" s="15"/>
    </row>
    <row r="288" customFormat="false" ht="15" hidden="false" customHeight="false" outlineLevel="0" collapsed="false">
      <c r="A288" s="2" t="str">
        <f aca="false">IF(E288&lt;&gt;"",ROW()-1,"")</f>
        <v/>
      </c>
      <c r="B288" s="3"/>
      <c r="C288" s="3"/>
      <c r="D288" s="3"/>
      <c r="E288" s="4"/>
      <c r="F288" s="4"/>
      <c r="G288" s="5"/>
      <c r="H288" s="4"/>
      <c r="I288" s="4"/>
      <c r="J288" s="4"/>
      <c r="K288" s="4"/>
      <c r="L288" s="6" t="str">
        <f aca="false">IF(AND(G288&lt;&gt;"",H288&gt;0),ROUND(G288/H288,0),"")</f>
        <v/>
      </c>
      <c r="M288" s="6" t="str">
        <f aca="false">IF(F288&lt;&gt;"",IFERROR(VLOOKUP(F288,TablaRef,2,FALSE()),"?"),"")</f>
        <v/>
      </c>
      <c r="N288" s="7" t="str">
        <f aca="false">IF(AND(L288&lt;&gt;"",M288&lt;&gt;"",ISNUMBER(M288)),IF(L288&lt;M288*(1-MargenPct),"🟢",IF(L288&gt;M288*(1+MargenPct),"🔴","🟡")),"")</f>
        <v/>
      </c>
      <c r="O288" s="8" t="str">
        <f aca="false">IF(G288&lt;&gt;"",W288+X288+Y288+Z288+AB288+AC288+AD288,"")</f>
        <v/>
      </c>
      <c r="P288" s="9" t="str">
        <f aca="false">IF(G288&lt;&gt;"",IF(O288&lt;=Presupuesto,"✓","✗"),"")</f>
        <v/>
      </c>
      <c r="Q288" s="10" t="str">
        <f aca="false">IF(G288&lt;&gt;"",Presupuesto-O288,"")</f>
        <v/>
      </c>
      <c r="R288" s="11"/>
      <c r="S288" s="11"/>
      <c r="T288" s="12"/>
      <c r="U288" s="12"/>
      <c r="V288" s="11"/>
      <c r="W288" s="13" t="str">
        <f aca="false">IF(G288&lt;&gt;"",MAX(G288-Credito,G288*0.1),"")</f>
        <v/>
      </c>
      <c r="X288" s="13" t="str">
        <f aca="false">IF(G288&lt;&gt;"",ROUND(G288*0.02*1.21,0),"")</f>
        <v/>
      </c>
      <c r="Y288" s="13" t="str">
        <f aca="false">IF(G288&lt;&gt;"",IF(G288&lt;=140000,0,ROUND(G288*0.0175,0)),"")</f>
        <v/>
      </c>
      <c r="Z288" s="13" t="str">
        <f aca="false">IF(G288&lt;&gt;"",ROUND(G288*0.004,0),"")</f>
        <v/>
      </c>
      <c r="AA288" s="14"/>
      <c r="AB288" s="13" t="str">
        <f aca="false">IF(G288&lt;&gt;"",IF(AA288="Sí",ROUND(G288*0.04*1.21,0),0),"")</f>
        <v/>
      </c>
      <c r="AC288" s="13" t="str">
        <f aca="false">IF(G288&lt;&gt;"",ROUND(G288*0.01,0),"")</f>
        <v/>
      </c>
      <c r="AD288" s="13" t="str">
        <f aca="false">IF(G288&lt;&gt;"",300,"")</f>
        <v/>
      </c>
      <c r="AE288" s="15"/>
      <c r="AF288" s="15"/>
      <c r="AG288" s="16"/>
      <c r="AH288" s="16"/>
      <c r="AI288" s="17" t="str">
        <f aca="false">IF(AND(AG288&lt;&gt;"",AH288&lt;&gt;""),(AG288+AH288)/2,"")</f>
        <v/>
      </c>
      <c r="AJ288" s="15"/>
      <c r="AK288" s="15"/>
    </row>
    <row r="289" customFormat="false" ht="15" hidden="false" customHeight="false" outlineLevel="0" collapsed="false">
      <c r="A289" s="2" t="str">
        <f aca="false">IF(E289&lt;&gt;"",ROW()-1,"")</f>
        <v/>
      </c>
      <c r="B289" s="3"/>
      <c r="C289" s="3"/>
      <c r="D289" s="3"/>
      <c r="E289" s="4"/>
      <c r="F289" s="4"/>
      <c r="G289" s="5"/>
      <c r="H289" s="4"/>
      <c r="I289" s="4"/>
      <c r="J289" s="4"/>
      <c r="K289" s="4"/>
      <c r="L289" s="6" t="str">
        <f aca="false">IF(AND(G289&lt;&gt;"",H289&gt;0),ROUND(G289/H289,0),"")</f>
        <v/>
      </c>
      <c r="M289" s="6" t="str">
        <f aca="false">IF(F289&lt;&gt;"",IFERROR(VLOOKUP(F289,TablaRef,2,FALSE()),"?"),"")</f>
        <v/>
      </c>
      <c r="N289" s="7" t="str">
        <f aca="false">IF(AND(L289&lt;&gt;"",M289&lt;&gt;"",ISNUMBER(M289)),IF(L289&lt;M289*(1-MargenPct),"🟢",IF(L289&gt;M289*(1+MargenPct),"🔴","🟡")),"")</f>
        <v/>
      </c>
      <c r="O289" s="8" t="str">
        <f aca="false">IF(G289&lt;&gt;"",W289+X289+Y289+Z289+AB289+AC289+AD289,"")</f>
        <v/>
      </c>
      <c r="P289" s="9" t="str">
        <f aca="false">IF(G289&lt;&gt;"",IF(O289&lt;=Presupuesto,"✓","✗"),"")</f>
        <v/>
      </c>
      <c r="Q289" s="10" t="str">
        <f aca="false">IF(G289&lt;&gt;"",Presupuesto-O289,"")</f>
        <v/>
      </c>
      <c r="R289" s="11"/>
      <c r="S289" s="11"/>
      <c r="T289" s="12"/>
      <c r="U289" s="12"/>
      <c r="V289" s="11"/>
      <c r="W289" s="13" t="str">
        <f aca="false">IF(G289&lt;&gt;"",MAX(G289-Credito,G289*0.1),"")</f>
        <v/>
      </c>
      <c r="X289" s="13" t="str">
        <f aca="false">IF(G289&lt;&gt;"",ROUND(G289*0.02*1.21,0),"")</f>
        <v/>
      </c>
      <c r="Y289" s="13" t="str">
        <f aca="false">IF(G289&lt;&gt;"",IF(G289&lt;=140000,0,ROUND(G289*0.0175,0)),"")</f>
        <v/>
      </c>
      <c r="Z289" s="13" t="str">
        <f aca="false">IF(G289&lt;&gt;"",ROUND(G289*0.004,0),"")</f>
        <v/>
      </c>
      <c r="AA289" s="14"/>
      <c r="AB289" s="13" t="str">
        <f aca="false">IF(G289&lt;&gt;"",IF(AA289="Sí",ROUND(G289*0.04*1.21,0),0),"")</f>
        <v/>
      </c>
      <c r="AC289" s="13" t="str">
        <f aca="false">IF(G289&lt;&gt;"",ROUND(G289*0.01,0),"")</f>
        <v/>
      </c>
      <c r="AD289" s="13" t="str">
        <f aca="false">IF(G289&lt;&gt;"",300,"")</f>
        <v/>
      </c>
      <c r="AE289" s="15"/>
      <c r="AF289" s="15"/>
      <c r="AG289" s="16"/>
      <c r="AH289" s="16"/>
      <c r="AI289" s="17" t="str">
        <f aca="false">IF(AND(AG289&lt;&gt;"",AH289&lt;&gt;""),(AG289+AH289)/2,"")</f>
        <v/>
      </c>
      <c r="AJ289" s="15"/>
      <c r="AK289" s="15"/>
    </row>
    <row r="290" customFormat="false" ht="15" hidden="false" customHeight="false" outlineLevel="0" collapsed="false">
      <c r="A290" s="2" t="str">
        <f aca="false">IF(E290&lt;&gt;"",ROW()-1,"")</f>
        <v/>
      </c>
      <c r="B290" s="3"/>
      <c r="C290" s="3"/>
      <c r="D290" s="3"/>
      <c r="E290" s="4"/>
      <c r="F290" s="4"/>
      <c r="G290" s="5"/>
      <c r="H290" s="4"/>
      <c r="I290" s="4"/>
      <c r="J290" s="4"/>
      <c r="K290" s="4"/>
      <c r="L290" s="6" t="str">
        <f aca="false">IF(AND(G290&lt;&gt;"",H290&gt;0),ROUND(G290/H290,0),"")</f>
        <v/>
      </c>
      <c r="M290" s="6" t="str">
        <f aca="false">IF(F290&lt;&gt;"",IFERROR(VLOOKUP(F290,TablaRef,2,FALSE()),"?"),"")</f>
        <v/>
      </c>
      <c r="N290" s="7" t="str">
        <f aca="false">IF(AND(L290&lt;&gt;"",M290&lt;&gt;"",ISNUMBER(M290)),IF(L290&lt;M290*(1-MargenPct),"🟢",IF(L290&gt;M290*(1+MargenPct),"🔴","🟡")),"")</f>
        <v/>
      </c>
      <c r="O290" s="8" t="str">
        <f aca="false">IF(G290&lt;&gt;"",W290+X290+Y290+Z290+AB290+AC290+AD290,"")</f>
        <v/>
      </c>
      <c r="P290" s="9" t="str">
        <f aca="false">IF(G290&lt;&gt;"",IF(O290&lt;=Presupuesto,"✓","✗"),"")</f>
        <v/>
      </c>
      <c r="Q290" s="10" t="str">
        <f aca="false">IF(G290&lt;&gt;"",Presupuesto-O290,"")</f>
        <v/>
      </c>
      <c r="R290" s="11"/>
      <c r="S290" s="11"/>
      <c r="T290" s="12"/>
      <c r="U290" s="12"/>
      <c r="V290" s="11"/>
      <c r="W290" s="13" t="str">
        <f aca="false">IF(G290&lt;&gt;"",MAX(G290-Credito,G290*0.1),"")</f>
        <v/>
      </c>
      <c r="X290" s="13" t="str">
        <f aca="false">IF(G290&lt;&gt;"",ROUND(G290*0.02*1.21,0),"")</f>
        <v/>
      </c>
      <c r="Y290" s="13" t="str">
        <f aca="false">IF(G290&lt;&gt;"",IF(G290&lt;=140000,0,ROUND(G290*0.0175,0)),"")</f>
        <v/>
      </c>
      <c r="Z290" s="13" t="str">
        <f aca="false">IF(G290&lt;&gt;"",ROUND(G290*0.004,0),"")</f>
        <v/>
      </c>
      <c r="AA290" s="14"/>
      <c r="AB290" s="13" t="str">
        <f aca="false">IF(G290&lt;&gt;"",IF(AA290="Sí",ROUND(G290*0.04*1.21,0),0),"")</f>
        <v/>
      </c>
      <c r="AC290" s="13" t="str">
        <f aca="false">IF(G290&lt;&gt;"",ROUND(G290*0.01,0),"")</f>
        <v/>
      </c>
      <c r="AD290" s="13" t="str">
        <f aca="false">IF(G290&lt;&gt;"",300,"")</f>
        <v/>
      </c>
      <c r="AE290" s="15"/>
      <c r="AF290" s="15"/>
      <c r="AG290" s="16"/>
      <c r="AH290" s="16"/>
      <c r="AI290" s="17" t="str">
        <f aca="false">IF(AND(AG290&lt;&gt;"",AH290&lt;&gt;""),(AG290+AH290)/2,"")</f>
        <v/>
      </c>
      <c r="AJ290" s="15"/>
      <c r="AK290" s="15"/>
    </row>
    <row r="291" customFormat="false" ht="15" hidden="false" customHeight="false" outlineLevel="0" collapsed="false">
      <c r="A291" s="2" t="str">
        <f aca="false">IF(E291&lt;&gt;"",ROW()-1,"")</f>
        <v/>
      </c>
      <c r="B291" s="3"/>
      <c r="C291" s="3"/>
      <c r="D291" s="3"/>
      <c r="E291" s="4"/>
      <c r="F291" s="4"/>
      <c r="G291" s="5"/>
      <c r="H291" s="4"/>
      <c r="I291" s="4"/>
      <c r="J291" s="4"/>
      <c r="K291" s="4"/>
      <c r="L291" s="6" t="str">
        <f aca="false">IF(AND(G291&lt;&gt;"",H291&gt;0),ROUND(G291/H291,0),"")</f>
        <v/>
      </c>
      <c r="M291" s="6" t="str">
        <f aca="false">IF(F291&lt;&gt;"",IFERROR(VLOOKUP(F291,TablaRef,2,FALSE()),"?"),"")</f>
        <v/>
      </c>
      <c r="N291" s="7" t="str">
        <f aca="false">IF(AND(L291&lt;&gt;"",M291&lt;&gt;"",ISNUMBER(M291)),IF(L291&lt;M291*(1-MargenPct),"🟢",IF(L291&gt;M291*(1+MargenPct),"🔴","🟡")),"")</f>
        <v/>
      </c>
      <c r="O291" s="8" t="str">
        <f aca="false">IF(G291&lt;&gt;"",W291+X291+Y291+Z291+AB291+AC291+AD291,"")</f>
        <v/>
      </c>
      <c r="P291" s="9" t="str">
        <f aca="false">IF(G291&lt;&gt;"",IF(O291&lt;=Presupuesto,"✓","✗"),"")</f>
        <v/>
      </c>
      <c r="Q291" s="10" t="str">
        <f aca="false">IF(G291&lt;&gt;"",Presupuesto-O291,"")</f>
        <v/>
      </c>
      <c r="R291" s="11"/>
      <c r="S291" s="11"/>
      <c r="T291" s="12"/>
      <c r="U291" s="12"/>
      <c r="V291" s="11"/>
      <c r="W291" s="13" t="str">
        <f aca="false">IF(G291&lt;&gt;"",MAX(G291-Credito,G291*0.1),"")</f>
        <v/>
      </c>
      <c r="X291" s="13" t="str">
        <f aca="false">IF(G291&lt;&gt;"",ROUND(G291*0.02*1.21,0),"")</f>
        <v/>
      </c>
      <c r="Y291" s="13" t="str">
        <f aca="false">IF(G291&lt;&gt;"",IF(G291&lt;=140000,0,ROUND(G291*0.0175,0)),"")</f>
        <v/>
      </c>
      <c r="Z291" s="13" t="str">
        <f aca="false">IF(G291&lt;&gt;"",ROUND(G291*0.004,0),"")</f>
        <v/>
      </c>
      <c r="AA291" s="14"/>
      <c r="AB291" s="13" t="str">
        <f aca="false">IF(G291&lt;&gt;"",IF(AA291="Sí",ROUND(G291*0.04*1.21,0),0),"")</f>
        <v/>
      </c>
      <c r="AC291" s="13" t="str">
        <f aca="false">IF(G291&lt;&gt;"",ROUND(G291*0.01,0),"")</f>
        <v/>
      </c>
      <c r="AD291" s="13" t="str">
        <f aca="false">IF(G291&lt;&gt;"",300,"")</f>
        <v/>
      </c>
      <c r="AE291" s="15"/>
      <c r="AF291" s="15"/>
      <c r="AG291" s="16"/>
      <c r="AH291" s="16"/>
      <c r="AI291" s="17" t="str">
        <f aca="false">IF(AND(AG291&lt;&gt;"",AH291&lt;&gt;""),(AG291+AH291)/2,"")</f>
        <v/>
      </c>
      <c r="AJ291" s="15"/>
      <c r="AK291" s="15"/>
    </row>
    <row r="292" customFormat="false" ht="15" hidden="false" customHeight="false" outlineLevel="0" collapsed="false">
      <c r="A292" s="2" t="str">
        <f aca="false">IF(E292&lt;&gt;"",ROW()-1,"")</f>
        <v/>
      </c>
      <c r="B292" s="3"/>
      <c r="C292" s="3"/>
      <c r="D292" s="3"/>
      <c r="E292" s="4"/>
      <c r="F292" s="4"/>
      <c r="G292" s="5"/>
      <c r="H292" s="4"/>
      <c r="I292" s="4"/>
      <c r="J292" s="4"/>
      <c r="K292" s="4"/>
      <c r="L292" s="6" t="str">
        <f aca="false">IF(AND(G292&lt;&gt;"",H292&gt;0),ROUND(G292/H292,0),"")</f>
        <v/>
      </c>
      <c r="M292" s="6" t="str">
        <f aca="false">IF(F292&lt;&gt;"",IFERROR(VLOOKUP(F292,TablaRef,2,FALSE()),"?"),"")</f>
        <v/>
      </c>
      <c r="N292" s="7" t="str">
        <f aca="false">IF(AND(L292&lt;&gt;"",M292&lt;&gt;"",ISNUMBER(M292)),IF(L292&lt;M292*(1-MargenPct),"🟢",IF(L292&gt;M292*(1+MargenPct),"🔴","🟡")),"")</f>
        <v/>
      </c>
      <c r="O292" s="8" t="str">
        <f aca="false">IF(G292&lt;&gt;"",W292+X292+Y292+Z292+AB292+AC292+AD292,"")</f>
        <v/>
      </c>
      <c r="P292" s="9" t="str">
        <f aca="false">IF(G292&lt;&gt;"",IF(O292&lt;=Presupuesto,"✓","✗"),"")</f>
        <v/>
      </c>
      <c r="Q292" s="10" t="str">
        <f aca="false">IF(G292&lt;&gt;"",Presupuesto-O292,"")</f>
        <v/>
      </c>
      <c r="R292" s="11"/>
      <c r="S292" s="11"/>
      <c r="T292" s="12"/>
      <c r="U292" s="12"/>
      <c r="V292" s="11"/>
      <c r="W292" s="13" t="str">
        <f aca="false">IF(G292&lt;&gt;"",MAX(G292-Credito,G292*0.1),"")</f>
        <v/>
      </c>
      <c r="X292" s="13" t="str">
        <f aca="false">IF(G292&lt;&gt;"",ROUND(G292*0.02*1.21,0),"")</f>
        <v/>
      </c>
      <c r="Y292" s="13" t="str">
        <f aca="false">IF(G292&lt;&gt;"",IF(G292&lt;=140000,0,ROUND(G292*0.0175,0)),"")</f>
        <v/>
      </c>
      <c r="Z292" s="13" t="str">
        <f aca="false">IF(G292&lt;&gt;"",ROUND(G292*0.004,0),"")</f>
        <v/>
      </c>
      <c r="AA292" s="14"/>
      <c r="AB292" s="13" t="str">
        <f aca="false">IF(G292&lt;&gt;"",IF(AA292="Sí",ROUND(G292*0.04*1.21,0),0),"")</f>
        <v/>
      </c>
      <c r="AC292" s="13" t="str">
        <f aca="false">IF(G292&lt;&gt;"",ROUND(G292*0.01,0),"")</f>
        <v/>
      </c>
      <c r="AD292" s="13" t="str">
        <f aca="false">IF(G292&lt;&gt;"",300,"")</f>
        <v/>
      </c>
      <c r="AE292" s="15"/>
      <c r="AF292" s="15"/>
      <c r="AG292" s="16"/>
      <c r="AH292" s="16"/>
      <c r="AI292" s="17" t="str">
        <f aca="false">IF(AND(AG292&lt;&gt;"",AH292&lt;&gt;""),(AG292+AH292)/2,"")</f>
        <v/>
      </c>
      <c r="AJ292" s="15"/>
      <c r="AK292" s="15"/>
    </row>
    <row r="293" customFormat="false" ht="15" hidden="false" customHeight="false" outlineLevel="0" collapsed="false">
      <c r="A293" s="2" t="str">
        <f aca="false">IF(E293&lt;&gt;"",ROW()-1,"")</f>
        <v/>
      </c>
      <c r="B293" s="3"/>
      <c r="C293" s="3"/>
      <c r="D293" s="3"/>
      <c r="E293" s="4"/>
      <c r="F293" s="4"/>
      <c r="G293" s="5"/>
      <c r="H293" s="4"/>
      <c r="I293" s="4"/>
      <c r="J293" s="4"/>
      <c r="K293" s="4"/>
      <c r="L293" s="6" t="str">
        <f aca="false">IF(AND(G293&lt;&gt;"",H293&gt;0),ROUND(G293/H293,0),"")</f>
        <v/>
      </c>
      <c r="M293" s="6" t="str">
        <f aca="false">IF(F293&lt;&gt;"",IFERROR(VLOOKUP(F293,TablaRef,2,FALSE()),"?"),"")</f>
        <v/>
      </c>
      <c r="N293" s="7" t="str">
        <f aca="false">IF(AND(L293&lt;&gt;"",M293&lt;&gt;"",ISNUMBER(M293)),IF(L293&lt;M293*(1-MargenPct),"🟢",IF(L293&gt;M293*(1+MargenPct),"🔴","🟡")),"")</f>
        <v/>
      </c>
      <c r="O293" s="8" t="str">
        <f aca="false">IF(G293&lt;&gt;"",W293+X293+Y293+Z293+AB293+AC293+AD293,"")</f>
        <v/>
      </c>
      <c r="P293" s="9" t="str">
        <f aca="false">IF(G293&lt;&gt;"",IF(O293&lt;=Presupuesto,"✓","✗"),"")</f>
        <v/>
      </c>
      <c r="Q293" s="10" t="str">
        <f aca="false">IF(G293&lt;&gt;"",Presupuesto-O293,"")</f>
        <v/>
      </c>
      <c r="R293" s="11"/>
      <c r="S293" s="11"/>
      <c r="T293" s="12"/>
      <c r="U293" s="12"/>
      <c r="V293" s="11"/>
      <c r="W293" s="13" t="str">
        <f aca="false">IF(G293&lt;&gt;"",MAX(G293-Credito,G293*0.1),"")</f>
        <v/>
      </c>
      <c r="X293" s="13" t="str">
        <f aca="false">IF(G293&lt;&gt;"",ROUND(G293*0.02*1.21,0),"")</f>
        <v/>
      </c>
      <c r="Y293" s="13" t="str">
        <f aca="false">IF(G293&lt;&gt;"",IF(G293&lt;=140000,0,ROUND(G293*0.0175,0)),"")</f>
        <v/>
      </c>
      <c r="Z293" s="13" t="str">
        <f aca="false">IF(G293&lt;&gt;"",ROUND(G293*0.004,0),"")</f>
        <v/>
      </c>
      <c r="AA293" s="14"/>
      <c r="AB293" s="13" t="str">
        <f aca="false">IF(G293&lt;&gt;"",IF(AA293="Sí",ROUND(G293*0.04*1.21,0),0),"")</f>
        <v/>
      </c>
      <c r="AC293" s="13" t="str">
        <f aca="false">IF(G293&lt;&gt;"",ROUND(G293*0.01,0),"")</f>
        <v/>
      </c>
      <c r="AD293" s="13" t="str">
        <f aca="false">IF(G293&lt;&gt;"",300,"")</f>
        <v/>
      </c>
      <c r="AE293" s="15"/>
      <c r="AF293" s="15"/>
      <c r="AG293" s="16"/>
      <c r="AH293" s="16"/>
      <c r="AI293" s="17" t="str">
        <f aca="false">IF(AND(AG293&lt;&gt;"",AH293&lt;&gt;""),(AG293+AH293)/2,"")</f>
        <v/>
      </c>
      <c r="AJ293" s="15"/>
      <c r="AK293" s="15"/>
    </row>
    <row r="294" customFormat="false" ht="15" hidden="false" customHeight="false" outlineLevel="0" collapsed="false">
      <c r="A294" s="2" t="str">
        <f aca="false">IF(E294&lt;&gt;"",ROW()-1,"")</f>
        <v/>
      </c>
      <c r="B294" s="3"/>
      <c r="C294" s="3"/>
      <c r="D294" s="3"/>
      <c r="E294" s="4"/>
      <c r="F294" s="4"/>
      <c r="G294" s="5"/>
      <c r="H294" s="4"/>
      <c r="I294" s="4"/>
      <c r="J294" s="4"/>
      <c r="K294" s="4"/>
      <c r="L294" s="6" t="str">
        <f aca="false">IF(AND(G294&lt;&gt;"",H294&gt;0),ROUND(G294/H294,0),"")</f>
        <v/>
      </c>
      <c r="M294" s="6" t="str">
        <f aca="false">IF(F294&lt;&gt;"",IFERROR(VLOOKUP(F294,TablaRef,2,FALSE()),"?"),"")</f>
        <v/>
      </c>
      <c r="N294" s="7" t="str">
        <f aca="false">IF(AND(L294&lt;&gt;"",M294&lt;&gt;"",ISNUMBER(M294)),IF(L294&lt;M294*(1-MargenPct),"🟢",IF(L294&gt;M294*(1+MargenPct),"🔴","🟡")),"")</f>
        <v/>
      </c>
      <c r="O294" s="8" t="str">
        <f aca="false">IF(G294&lt;&gt;"",W294+X294+Y294+Z294+AB294+AC294+AD294,"")</f>
        <v/>
      </c>
      <c r="P294" s="9" t="str">
        <f aca="false">IF(G294&lt;&gt;"",IF(O294&lt;=Presupuesto,"✓","✗"),"")</f>
        <v/>
      </c>
      <c r="Q294" s="10" t="str">
        <f aca="false">IF(G294&lt;&gt;"",Presupuesto-O294,"")</f>
        <v/>
      </c>
      <c r="R294" s="11"/>
      <c r="S294" s="11"/>
      <c r="T294" s="12"/>
      <c r="U294" s="12"/>
      <c r="V294" s="11"/>
      <c r="W294" s="13" t="str">
        <f aca="false">IF(G294&lt;&gt;"",MAX(G294-Credito,G294*0.1),"")</f>
        <v/>
      </c>
      <c r="X294" s="13" t="str">
        <f aca="false">IF(G294&lt;&gt;"",ROUND(G294*0.02*1.21,0),"")</f>
        <v/>
      </c>
      <c r="Y294" s="13" t="str">
        <f aca="false">IF(G294&lt;&gt;"",IF(G294&lt;=140000,0,ROUND(G294*0.0175,0)),"")</f>
        <v/>
      </c>
      <c r="Z294" s="13" t="str">
        <f aca="false">IF(G294&lt;&gt;"",ROUND(G294*0.004,0),"")</f>
        <v/>
      </c>
      <c r="AA294" s="14"/>
      <c r="AB294" s="13" t="str">
        <f aca="false">IF(G294&lt;&gt;"",IF(AA294="Sí",ROUND(G294*0.04*1.21,0),0),"")</f>
        <v/>
      </c>
      <c r="AC294" s="13" t="str">
        <f aca="false">IF(G294&lt;&gt;"",ROUND(G294*0.01,0),"")</f>
        <v/>
      </c>
      <c r="AD294" s="13" t="str">
        <f aca="false">IF(G294&lt;&gt;"",300,"")</f>
        <v/>
      </c>
      <c r="AE294" s="15"/>
      <c r="AF294" s="15"/>
      <c r="AG294" s="16"/>
      <c r="AH294" s="16"/>
      <c r="AI294" s="17" t="str">
        <f aca="false">IF(AND(AG294&lt;&gt;"",AH294&lt;&gt;""),(AG294+AH294)/2,"")</f>
        <v/>
      </c>
      <c r="AJ294" s="15"/>
      <c r="AK294" s="15"/>
    </row>
    <row r="295" customFormat="false" ht="15" hidden="false" customHeight="false" outlineLevel="0" collapsed="false">
      <c r="A295" s="2" t="str">
        <f aca="false">IF(E295&lt;&gt;"",ROW()-1,"")</f>
        <v/>
      </c>
      <c r="B295" s="3"/>
      <c r="C295" s="3"/>
      <c r="D295" s="3"/>
      <c r="E295" s="4"/>
      <c r="F295" s="4"/>
      <c r="G295" s="5"/>
      <c r="H295" s="4"/>
      <c r="I295" s="4"/>
      <c r="J295" s="4"/>
      <c r="K295" s="4"/>
      <c r="L295" s="6" t="str">
        <f aca="false">IF(AND(G295&lt;&gt;"",H295&gt;0),ROUND(G295/H295,0),"")</f>
        <v/>
      </c>
      <c r="M295" s="6" t="str">
        <f aca="false">IF(F295&lt;&gt;"",IFERROR(VLOOKUP(F295,TablaRef,2,FALSE()),"?"),"")</f>
        <v/>
      </c>
      <c r="N295" s="7" t="str">
        <f aca="false">IF(AND(L295&lt;&gt;"",M295&lt;&gt;"",ISNUMBER(M295)),IF(L295&lt;M295*(1-MargenPct),"🟢",IF(L295&gt;M295*(1+MargenPct),"🔴","🟡")),"")</f>
        <v/>
      </c>
      <c r="O295" s="8" t="str">
        <f aca="false">IF(G295&lt;&gt;"",W295+X295+Y295+Z295+AB295+AC295+AD295,"")</f>
        <v/>
      </c>
      <c r="P295" s="9" t="str">
        <f aca="false">IF(G295&lt;&gt;"",IF(O295&lt;=Presupuesto,"✓","✗"),"")</f>
        <v/>
      </c>
      <c r="Q295" s="10" t="str">
        <f aca="false">IF(G295&lt;&gt;"",Presupuesto-O295,"")</f>
        <v/>
      </c>
      <c r="R295" s="11"/>
      <c r="S295" s="11"/>
      <c r="T295" s="12"/>
      <c r="U295" s="12"/>
      <c r="V295" s="11"/>
      <c r="W295" s="13" t="str">
        <f aca="false">IF(G295&lt;&gt;"",MAX(G295-Credito,G295*0.1),"")</f>
        <v/>
      </c>
      <c r="X295" s="13" t="str">
        <f aca="false">IF(G295&lt;&gt;"",ROUND(G295*0.02*1.21,0),"")</f>
        <v/>
      </c>
      <c r="Y295" s="13" t="str">
        <f aca="false">IF(G295&lt;&gt;"",IF(G295&lt;=140000,0,ROUND(G295*0.0175,0)),"")</f>
        <v/>
      </c>
      <c r="Z295" s="13" t="str">
        <f aca="false">IF(G295&lt;&gt;"",ROUND(G295*0.004,0),"")</f>
        <v/>
      </c>
      <c r="AA295" s="14"/>
      <c r="AB295" s="13" t="str">
        <f aca="false">IF(G295&lt;&gt;"",IF(AA295="Sí",ROUND(G295*0.04*1.21,0),0),"")</f>
        <v/>
      </c>
      <c r="AC295" s="13" t="str">
        <f aca="false">IF(G295&lt;&gt;"",ROUND(G295*0.01,0),"")</f>
        <v/>
      </c>
      <c r="AD295" s="13" t="str">
        <f aca="false">IF(G295&lt;&gt;"",300,"")</f>
        <v/>
      </c>
      <c r="AE295" s="15"/>
      <c r="AF295" s="15"/>
      <c r="AG295" s="16"/>
      <c r="AH295" s="16"/>
      <c r="AI295" s="17" t="str">
        <f aca="false">IF(AND(AG295&lt;&gt;"",AH295&lt;&gt;""),(AG295+AH295)/2,"")</f>
        <v/>
      </c>
      <c r="AJ295" s="15"/>
      <c r="AK295" s="15"/>
    </row>
    <row r="296" customFormat="false" ht="15" hidden="false" customHeight="false" outlineLevel="0" collapsed="false">
      <c r="A296" s="2" t="str">
        <f aca="false">IF(E296&lt;&gt;"",ROW()-1,"")</f>
        <v/>
      </c>
      <c r="B296" s="3"/>
      <c r="C296" s="3"/>
      <c r="D296" s="3"/>
      <c r="E296" s="4"/>
      <c r="F296" s="4"/>
      <c r="G296" s="5"/>
      <c r="H296" s="4"/>
      <c r="I296" s="4"/>
      <c r="J296" s="4"/>
      <c r="K296" s="4"/>
      <c r="L296" s="6" t="str">
        <f aca="false">IF(AND(G296&lt;&gt;"",H296&gt;0),ROUND(G296/H296,0),"")</f>
        <v/>
      </c>
      <c r="M296" s="6" t="str">
        <f aca="false">IF(F296&lt;&gt;"",IFERROR(VLOOKUP(F296,TablaRef,2,FALSE()),"?"),"")</f>
        <v/>
      </c>
      <c r="N296" s="7" t="str">
        <f aca="false">IF(AND(L296&lt;&gt;"",M296&lt;&gt;"",ISNUMBER(M296)),IF(L296&lt;M296*(1-MargenPct),"🟢",IF(L296&gt;M296*(1+MargenPct),"🔴","🟡")),"")</f>
        <v/>
      </c>
      <c r="O296" s="8" t="str">
        <f aca="false">IF(G296&lt;&gt;"",W296+X296+Y296+Z296+AB296+AC296+AD296,"")</f>
        <v/>
      </c>
      <c r="P296" s="9" t="str">
        <f aca="false">IF(G296&lt;&gt;"",IF(O296&lt;=Presupuesto,"✓","✗"),"")</f>
        <v/>
      </c>
      <c r="Q296" s="10" t="str">
        <f aca="false">IF(G296&lt;&gt;"",Presupuesto-O296,"")</f>
        <v/>
      </c>
      <c r="R296" s="11"/>
      <c r="S296" s="11"/>
      <c r="T296" s="12"/>
      <c r="U296" s="12"/>
      <c r="V296" s="11"/>
      <c r="W296" s="13" t="str">
        <f aca="false">IF(G296&lt;&gt;"",MAX(G296-Credito,G296*0.1),"")</f>
        <v/>
      </c>
      <c r="X296" s="13" t="str">
        <f aca="false">IF(G296&lt;&gt;"",ROUND(G296*0.02*1.21,0),"")</f>
        <v/>
      </c>
      <c r="Y296" s="13" t="str">
        <f aca="false">IF(G296&lt;&gt;"",IF(G296&lt;=140000,0,ROUND(G296*0.0175,0)),"")</f>
        <v/>
      </c>
      <c r="Z296" s="13" t="str">
        <f aca="false">IF(G296&lt;&gt;"",ROUND(G296*0.004,0),"")</f>
        <v/>
      </c>
      <c r="AA296" s="14"/>
      <c r="AB296" s="13" t="str">
        <f aca="false">IF(G296&lt;&gt;"",IF(AA296="Sí",ROUND(G296*0.04*1.21,0),0),"")</f>
        <v/>
      </c>
      <c r="AC296" s="13" t="str">
        <f aca="false">IF(G296&lt;&gt;"",ROUND(G296*0.01,0),"")</f>
        <v/>
      </c>
      <c r="AD296" s="13" t="str">
        <f aca="false">IF(G296&lt;&gt;"",300,"")</f>
        <v/>
      </c>
      <c r="AE296" s="15"/>
      <c r="AF296" s="15"/>
      <c r="AG296" s="16"/>
      <c r="AH296" s="16"/>
      <c r="AI296" s="17" t="str">
        <f aca="false">IF(AND(AG296&lt;&gt;"",AH296&lt;&gt;""),(AG296+AH296)/2,"")</f>
        <v/>
      </c>
      <c r="AJ296" s="15"/>
      <c r="AK296" s="15"/>
    </row>
    <row r="297" customFormat="false" ht="15" hidden="false" customHeight="false" outlineLevel="0" collapsed="false">
      <c r="A297" s="2" t="str">
        <f aca="false">IF(E297&lt;&gt;"",ROW()-1,"")</f>
        <v/>
      </c>
      <c r="B297" s="3"/>
      <c r="C297" s="3"/>
      <c r="D297" s="3"/>
      <c r="E297" s="4"/>
      <c r="F297" s="4"/>
      <c r="G297" s="5"/>
      <c r="H297" s="4"/>
      <c r="I297" s="4"/>
      <c r="J297" s="4"/>
      <c r="K297" s="4"/>
      <c r="L297" s="6" t="str">
        <f aca="false">IF(AND(G297&lt;&gt;"",H297&gt;0),ROUND(G297/H297,0),"")</f>
        <v/>
      </c>
      <c r="M297" s="6" t="str">
        <f aca="false">IF(F297&lt;&gt;"",IFERROR(VLOOKUP(F297,TablaRef,2,FALSE()),"?"),"")</f>
        <v/>
      </c>
      <c r="N297" s="7" t="str">
        <f aca="false">IF(AND(L297&lt;&gt;"",M297&lt;&gt;"",ISNUMBER(M297)),IF(L297&lt;M297*(1-MargenPct),"🟢",IF(L297&gt;M297*(1+MargenPct),"🔴","🟡")),"")</f>
        <v/>
      </c>
      <c r="O297" s="8" t="str">
        <f aca="false">IF(G297&lt;&gt;"",W297+X297+Y297+Z297+AB297+AC297+AD297,"")</f>
        <v/>
      </c>
      <c r="P297" s="9" t="str">
        <f aca="false">IF(G297&lt;&gt;"",IF(O297&lt;=Presupuesto,"✓","✗"),"")</f>
        <v/>
      </c>
      <c r="Q297" s="10" t="str">
        <f aca="false">IF(G297&lt;&gt;"",Presupuesto-O297,"")</f>
        <v/>
      </c>
      <c r="R297" s="11"/>
      <c r="S297" s="11"/>
      <c r="T297" s="12"/>
      <c r="U297" s="12"/>
      <c r="V297" s="11"/>
      <c r="W297" s="13" t="str">
        <f aca="false">IF(G297&lt;&gt;"",MAX(G297-Credito,G297*0.1),"")</f>
        <v/>
      </c>
      <c r="X297" s="13" t="str">
        <f aca="false">IF(G297&lt;&gt;"",ROUND(G297*0.02*1.21,0),"")</f>
        <v/>
      </c>
      <c r="Y297" s="13" t="str">
        <f aca="false">IF(G297&lt;&gt;"",IF(G297&lt;=140000,0,ROUND(G297*0.0175,0)),"")</f>
        <v/>
      </c>
      <c r="Z297" s="13" t="str">
        <f aca="false">IF(G297&lt;&gt;"",ROUND(G297*0.004,0),"")</f>
        <v/>
      </c>
      <c r="AA297" s="14"/>
      <c r="AB297" s="13" t="str">
        <f aca="false">IF(G297&lt;&gt;"",IF(AA297="Sí",ROUND(G297*0.04*1.21,0),0),"")</f>
        <v/>
      </c>
      <c r="AC297" s="13" t="str">
        <f aca="false">IF(G297&lt;&gt;"",ROUND(G297*0.01,0),"")</f>
        <v/>
      </c>
      <c r="AD297" s="13" t="str">
        <f aca="false">IF(G297&lt;&gt;"",300,"")</f>
        <v/>
      </c>
      <c r="AE297" s="15"/>
      <c r="AF297" s="15"/>
      <c r="AG297" s="16"/>
      <c r="AH297" s="16"/>
      <c r="AI297" s="17" t="str">
        <f aca="false">IF(AND(AG297&lt;&gt;"",AH297&lt;&gt;""),(AG297+AH297)/2,"")</f>
        <v/>
      </c>
      <c r="AJ297" s="15"/>
      <c r="AK297" s="15"/>
    </row>
    <row r="298" customFormat="false" ht="15" hidden="false" customHeight="false" outlineLevel="0" collapsed="false">
      <c r="A298" s="2" t="str">
        <f aca="false">IF(E298&lt;&gt;"",ROW()-1,"")</f>
        <v/>
      </c>
      <c r="B298" s="3"/>
      <c r="C298" s="3"/>
      <c r="D298" s="3"/>
      <c r="E298" s="4"/>
      <c r="F298" s="4"/>
      <c r="G298" s="5"/>
      <c r="H298" s="4"/>
      <c r="I298" s="4"/>
      <c r="J298" s="4"/>
      <c r="K298" s="4"/>
      <c r="L298" s="6" t="str">
        <f aca="false">IF(AND(G298&lt;&gt;"",H298&gt;0),ROUND(G298/H298,0),"")</f>
        <v/>
      </c>
      <c r="M298" s="6" t="str">
        <f aca="false">IF(F298&lt;&gt;"",IFERROR(VLOOKUP(F298,TablaRef,2,FALSE()),"?"),"")</f>
        <v/>
      </c>
      <c r="N298" s="7" t="str">
        <f aca="false">IF(AND(L298&lt;&gt;"",M298&lt;&gt;"",ISNUMBER(M298)),IF(L298&lt;M298*(1-MargenPct),"🟢",IF(L298&gt;M298*(1+MargenPct),"🔴","🟡")),"")</f>
        <v/>
      </c>
      <c r="O298" s="8" t="str">
        <f aca="false">IF(G298&lt;&gt;"",W298+X298+Y298+Z298+AB298+AC298+AD298,"")</f>
        <v/>
      </c>
      <c r="P298" s="9" t="str">
        <f aca="false">IF(G298&lt;&gt;"",IF(O298&lt;=Presupuesto,"✓","✗"),"")</f>
        <v/>
      </c>
      <c r="Q298" s="10" t="str">
        <f aca="false">IF(G298&lt;&gt;"",Presupuesto-O298,"")</f>
        <v/>
      </c>
      <c r="R298" s="11"/>
      <c r="S298" s="11"/>
      <c r="T298" s="12"/>
      <c r="U298" s="12"/>
      <c r="V298" s="11"/>
      <c r="W298" s="13" t="str">
        <f aca="false">IF(G298&lt;&gt;"",MAX(G298-Credito,G298*0.1),"")</f>
        <v/>
      </c>
      <c r="X298" s="13" t="str">
        <f aca="false">IF(G298&lt;&gt;"",ROUND(G298*0.02*1.21,0),"")</f>
        <v/>
      </c>
      <c r="Y298" s="13" t="str">
        <f aca="false">IF(G298&lt;&gt;"",IF(G298&lt;=140000,0,ROUND(G298*0.0175,0)),"")</f>
        <v/>
      </c>
      <c r="Z298" s="13" t="str">
        <f aca="false">IF(G298&lt;&gt;"",ROUND(G298*0.004,0),"")</f>
        <v/>
      </c>
      <c r="AA298" s="14"/>
      <c r="AB298" s="13" t="str">
        <f aca="false">IF(G298&lt;&gt;"",IF(AA298="Sí",ROUND(G298*0.04*1.21,0),0),"")</f>
        <v/>
      </c>
      <c r="AC298" s="13" t="str">
        <f aca="false">IF(G298&lt;&gt;"",ROUND(G298*0.01,0),"")</f>
        <v/>
      </c>
      <c r="AD298" s="13" t="str">
        <f aca="false">IF(G298&lt;&gt;"",300,"")</f>
        <v/>
      </c>
      <c r="AE298" s="15"/>
      <c r="AF298" s="15"/>
      <c r="AG298" s="16"/>
      <c r="AH298" s="16"/>
      <c r="AI298" s="17" t="str">
        <f aca="false">IF(AND(AG298&lt;&gt;"",AH298&lt;&gt;""),(AG298+AH298)/2,"")</f>
        <v/>
      </c>
      <c r="AJ298" s="15"/>
      <c r="AK298" s="15"/>
    </row>
    <row r="299" customFormat="false" ht="15" hidden="false" customHeight="false" outlineLevel="0" collapsed="false">
      <c r="A299" s="2" t="str">
        <f aca="false">IF(E299&lt;&gt;"",ROW()-1,"")</f>
        <v/>
      </c>
      <c r="B299" s="3"/>
      <c r="C299" s="3"/>
      <c r="D299" s="3"/>
      <c r="E299" s="4"/>
      <c r="F299" s="4"/>
      <c r="G299" s="5"/>
      <c r="H299" s="4"/>
      <c r="I299" s="4"/>
      <c r="J299" s="4"/>
      <c r="K299" s="4"/>
      <c r="L299" s="6" t="str">
        <f aca="false">IF(AND(G299&lt;&gt;"",H299&gt;0),ROUND(G299/H299,0),"")</f>
        <v/>
      </c>
      <c r="M299" s="6" t="str">
        <f aca="false">IF(F299&lt;&gt;"",IFERROR(VLOOKUP(F299,TablaRef,2,FALSE()),"?"),"")</f>
        <v/>
      </c>
      <c r="N299" s="7" t="str">
        <f aca="false">IF(AND(L299&lt;&gt;"",M299&lt;&gt;"",ISNUMBER(M299)),IF(L299&lt;M299*(1-MargenPct),"🟢",IF(L299&gt;M299*(1+MargenPct),"🔴","🟡")),"")</f>
        <v/>
      </c>
      <c r="O299" s="8" t="str">
        <f aca="false">IF(G299&lt;&gt;"",W299+X299+Y299+Z299+AB299+AC299+AD299,"")</f>
        <v/>
      </c>
      <c r="P299" s="9" t="str">
        <f aca="false">IF(G299&lt;&gt;"",IF(O299&lt;=Presupuesto,"✓","✗"),"")</f>
        <v/>
      </c>
      <c r="Q299" s="10" t="str">
        <f aca="false">IF(G299&lt;&gt;"",Presupuesto-O299,"")</f>
        <v/>
      </c>
      <c r="R299" s="11"/>
      <c r="S299" s="11"/>
      <c r="T299" s="12"/>
      <c r="U299" s="12"/>
      <c r="V299" s="11"/>
      <c r="W299" s="13" t="str">
        <f aca="false">IF(G299&lt;&gt;"",MAX(G299-Credito,G299*0.1),"")</f>
        <v/>
      </c>
      <c r="X299" s="13" t="str">
        <f aca="false">IF(G299&lt;&gt;"",ROUND(G299*0.02*1.21,0),"")</f>
        <v/>
      </c>
      <c r="Y299" s="13" t="str">
        <f aca="false">IF(G299&lt;&gt;"",IF(G299&lt;=140000,0,ROUND(G299*0.0175,0)),"")</f>
        <v/>
      </c>
      <c r="Z299" s="13" t="str">
        <f aca="false">IF(G299&lt;&gt;"",ROUND(G299*0.004,0),"")</f>
        <v/>
      </c>
      <c r="AA299" s="14"/>
      <c r="AB299" s="13" t="str">
        <f aca="false">IF(G299&lt;&gt;"",IF(AA299="Sí",ROUND(G299*0.04*1.21,0),0),"")</f>
        <v/>
      </c>
      <c r="AC299" s="13" t="str">
        <f aca="false">IF(G299&lt;&gt;"",ROUND(G299*0.01,0),"")</f>
        <v/>
      </c>
      <c r="AD299" s="13" t="str">
        <f aca="false">IF(G299&lt;&gt;"",300,"")</f>
        <v/>
      </c>
      <c r="AE299" s="15"/>
      <c r="AF299" s="15"/>
      <c r="AG299" s="16"/>
      <c r="AH299" s="16"/>
      <c r="AI299" s="17" t="str">
        <f aca="false">IF(AND(AG299&lt;&gt;"",AH299&lt;&gt;""),(AG299+AH299)/2,"")</f>
        <v/>
      </c>
      <c r="AJ299" s="15"/>
      <c r="AK299" s="15"/>
    </row>
    <row r="300" customFormat="false" ht="15" hidden="false" customHeight="false" outlineLevel="0" collapsed="false">
      <c r="A300" s="2" t="str">
        <f aca="false">IF(E300&lt;&gt;"",ROW()-1,"")</f>
        <v/>
      </c>
      <c r="B300" s="3"/>
      <c r="C300" s="3"/>
      <c r="D300" s="3"/>
      <c r="E300" s="4"/>
      <c r="F300" s="4"/>
      <c r="G300" s="5"/>
      <c r="H300" s="4"/>
      <c r="I300" s="4"/>
      <c r="J300" s="4"/>
      <c r="K300" s="4"/>
      <c r="L300" s="6" t="str">
        <f aca="false">IF(AND(G300&lt;&gt;"",H300&gt;0),ROUND(G300/H300,0),"")</f>
        <v/>
      </c>
      <c r="M300" s="6" t="str">
        <f aca="false">IF(F300&lt;&gt;"",IFERROR(VLOOKUP(F300,TablaRef,2,FALSE()),"?"),"")</f>
        <v/>
      </c>
      <c r="N300" s="7" t="str">
        <f aca="false">IF(AND(L300&lt;&gt;"",M300&lt;&gt;"",ISNUMBER(M300)),IF(L300&lt;M300*(1-MargenPct),"🟢",IF(L300&gt;M300*(1+MargenPct),"🔴","🟡")),"")</f>
        <v/>
      </c>
      <c r="O300" s="8" t="str">
        <f aca="false">IF(G300&lt;&gt;"",W300+X300+Y300+Z300+AB300+AC300+AD300,"")</f>
        <v/>
      </c>
      <c r="P300" s="9" t="str">
        <f aca="false">IF(G300&lt;&gt;"",IF(O300&lt;=Presupuesto,"✓","✗"),"")</f>
        <v/>
      </c>
      <c r="Q300" s="10" t="str">
        <f aca="false">IF(G300&lt;&gt;"",Presupuesto-O300,"")</f>
        <v/>
      </c>
      <c r="R300" s="11"/>
      <c r="S300" s="11"/>
      <c r="T300" s="12"/>
      <c r="U300" s="12"/>
      <c r="V300" s="11"/>
      <c r="W300" s="13" t="str">
        <f aca="false">IF(G300&lt;&gt;"",MAX(G300-Credito,G300*0.1),"")</f>
        <v/>
      </c>
      <c r="X300" s="13" t="str">
        <f aca="false">IF(G300&lt;&gt;"",ROUND(G300*0.02*1.21,0),"")</f>
        <v/>
      </c>
      <c r="Y300" s="13" t="str">
        <f aca="false">IF(G300&lt;&gt;"",IF(G300&lt;=140000,0,ROUND(G300*0.0175,0)),"")</f>
        <v/>
      </c>
      <c r="Z300" s="13" t="str">
        <f aca="false">IF(G300&lt;&gt;"",ROUND(G300*0.004,0),"")</f>
        <v/>
      </c>
      <c r="AA300" s="14"/>
      <c r="AB300" s="13" t="str">
        <f aca="false">IF(G300&lt;&gt;"",IF(AA300="Sí",ROUND(G300*0.04*1.21,0),0),"")</f>
        <v/>
      </c>
      <c r="AC300" s="13" t="str">
        <f aca="false">IF(G300&lt;&gt;"",ROUND(G300*0.01,0),"")</f>
        <v/>
      </c>
      <c r="AD300" s="13" t="str">
        <f aca="false">IF(G300&lt;&gt;"",300,"")</f>
        <v/>
      </c>
      <c r="AE300" s="15"/>
      <c r="AF300" s="15"/>
      <c r="AG300" s="16"/>
      <c r="AH300" s="16"/>
      <c r="AI300" s="17" t="str">
        <f aca="false">IF(AND(AG300&lt;&gt;"",AH300&lt;&gt;""),(AG300+AH300)/2,"")</f>
        <v/>
      </c>
      <c r="AJ300" s="15"/>
      <c r="AK300" s="15"/>
    </row>
  </sheetData>
  <conditionalFormatting sqref="P2:P300">
    <cfRule type="expression" priority="2" aboveAverage="0" equalAverage="0" bottom="0" percent="0" rank="0" text="" dxfId="0">
      <formula>$P2="✓"</formula>
    </cfRule>
    <cfRule type="expression" priority="3" aboveAverage="0" equalAverage="0" bottom="0" percent="0" rank="0" text="" dxfId="1">
      <formula>$P2="✗"</formula>
    </cfRule>
  </conditionalFormatting>
  <conditionalFormatting sqref="C2:C300">
    <cfRule type="expression" priority="4" aboveAverage="0" equalAverage="0" bottom="0" percent="0" rank="0" text="" dxfId="0">
      <formula>$C2="✓ Online"</formula>
    </cfRule>
    <cfRule type="expression" priority="5" aboveAverage="0" equalAverage="0" bottom="0" percent="0" rank="0" text="" dxfId="1">
      <formula>$C2="✗ Baja"</formula>
    </cfRule>
    <cfRule type="expression" priority="6" aboveAverage="0" equalAverage="0" bottom="0" percent="0" rank="0" text="" dxfId="2">
      <formula>LEFT($C2,1)="?"</formula>
    </cfRule>
  </conditionalFormatting>
  <conditionalFormatting sqref="D2:D300">
    <cfRule type="expression" priority="7" aboveAverage="0" equalAverage="0" bottom="0" percent="0" rank="0" text="" dxfId="0">
      <formula>$D2="✓ Completa"</formula>
    </cfRule>
    <cfRule type="expression" priority="8" aboveAverage="0" equalAverage="0" bottom="0" percent="0" rank="0" text="" dxfId="1">
      <formula>$D2="✗ Sin"</formula>
    </cfRule>
  </conditionalFormatting>
  <dataValidations count="9">
    <dataValidation allowBlank="true" errorStyle="stop" operator="between" showDropDown="false" showErrorMessage="false" showInputMessage="false" sqref="B2:B300" type="list">
      <formula1>"Por ver,Visitado,Descartado,Interesado,Ofertado"</formula1>
      <formula2>0</formula2>
    </dataValidation>
    <dataValidation allowBlank="true" errorStyle="stop" operator="between" showDropDown="false" showErrorMessage="false" showInputMessage="false" sqref="C2:C300" type="list">
      <formula1>"✓ Online,✗ Baja,? MeLi,? ZonaProp"</formula1>
      <formula2>0</formula2>
    </dataValidation>
    <dataValidation allowBlank="true" errorStyle="stop" operator="between" showDropDown="false" showErrorMessage="false" showInputMessage="false" sqref="D2:D300" type="list">
      <formula1>"✓ Completa,~ Parcial,✗ Sin"</formula1>
      <formula2>0</formula2>
    </dataValidation>
    <dataValidation allowBlank="true" errorStyle="stop" operator="between" showDropDown="false" showErrorMessage="false" showInputMessage="false" sqref="J2:J300 AA2:AA300" type="list">
      <formula1>"Sí,No"</formula1>
      <formula2>0</formula2>
    </dataValidation>
    <dataValidation allowBlank="true" errorStyle="stop" operator="between" showDropDown="false" showErrorMessage="false" showInputMessage="false" sqref="K2:K300" type="list">
      <formula1>"Propia,Compartida,No"</formula1>
      <formula2>0</formula2>
    </dataValidation>
    <dataValidation allowBlank="true" errorStyle="stop" operator="between" showDropDown="false" showErrorMessage="false" showInputMessage="false" sqref="T2:T300" type="list">
      <formula1>"Estrenar,Bueno,Reciclar,Regular"</formula1>
      <formula2>0</formula2>
    </dataValidation>
    <dataValidation allowBlank="true" errorStyle="stop" operator="between" showDropDown="false" showErrorMessage="false" showInputMessage="false" sqref="U2:U300" type="list">
      <formula1>"Muy buena,Buena,Regular,Mala"</formula1>
      <formula2>0</formula2>
    </dataValidation>
    <dataValidation allowBlank="true" errorStyle="stop" operator="between" showDropDown="false" showErrorMessage="false" showInputMessage="false" sqref="F2:F300" type="list">
      <formula1>ListaBarrios</formula1>
      <formula2>0</formula2>
    </dataValidation>
    <dataValidation allowBlank="true" errorStyle="stop" operator="between" showDropDown="false" showErrorMessage="false" showInputMessage="false" sqref="AG2:AH300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18" t="s">
        <v>141</v>
      </c>
      <c r="B1" s="18" t="s">
        <v>142</v>
      </c>
      <c r="C1" s="18" t="s">
        <v>35</v>
      </c>
    </row>
    <row r="2" customFormat="false" ht="15" hidden="false" customHeight="false" outlineLevel="0" collapsed="false">
      <c r="A2" s="0" t="s">
        <v>143</v>
      </c>
      <c r="B2" s="0" t="n">
        <v>86000</v>
      </c>
      <c r="C2" s="0" t="s">
        <v>144</v>
      </c>
    </row>
    <row r="3" customFormat="false" ht="15" hidden="false" customHeight="false" outlineLevel="0" collapsed="false">
      <c r="A3" s="0" t="s">
        <v>145</v>
      </c>
      <c r="B3" s="0" t="n">
        <v>25000</v>
      </c>
      <c r="C3" s="0" t="s">
        <v>146</v>
      </c>
    </row>
    <row r="4" customFormat="false" ht="15" hidden="false" customHeight="false" outlineLevel="0" collapsed="false">
      <c r="A4" s="0" t="s">
        <v>147</v>
      </c>
      <c r="B4" s="0" t="n">
        <v>0.12</v>
      </c>
      <c r="C4" s="0" t="s">
        <v>148</v>
      </c>
    </row>
    <row r="5" customFormat="false" ht="15" hidden="false" customHeight="false" outlineLevel="0" collapsed="false">
      <c r="A5" s="0" t="s">
        <v>149</v>
      </c>
      <c r="B5" s="0" t="n">
        <v>0.02</v>
      </c>
      <c r="C5" s="0" t="s">
        <v>150</v>
      </c>
    </row>
    <row r="6" customFormat="false" ht="15" hidden="false" customHeight="false" outlineLevel="0" collapsed="false">
      <c r="A6" s="0" t="s">
        <v>151</v>
      </c>
      <c r="B6" s="0" t="n">
        <v>0.21</v>
      </c>
      <c r="C6" s="0" t="s">
        <v>152</v>
      </c>
    </row>
    <row r="7" customFormat="false" ht="15" hidden="false" customHeight="false" outlineLevel="0" collapsed="false">
      <c r="A7" s="0" t="s">
        <v>153</v>
      </c>
      <c r="B7" s="0" t="n">
        <v>140000</v>
      </c>
      <c r="C7" s="0" t="s">
        <v>154</v>
      </c>
    </row>
    <row r="8" customFormat="false" ht="15" hidden="false" customHeight="false" outlineLevel="0" collapsed="false">
      <c r="A8" s="0" t="s">
        <v>155</v>
      </c>
      <c r="B8" s="0" t="n">
        <v>0.004</v>
      </c>
      <c r="C8" s="0" t="s">
        <v>156</v>
      </c>
    </row>
    <row r="9" customFormat="false" ht="15" hidden="false" customHeight="false" outlineLevel="0" collapsed="false">
      <c r="A9" s="0" t="s">
        <v>157</v>
      </c>
      <c r="B9" s="0" t="n">
        <v>0.04</v>
      </c>
      <c r="C9" s="0" t="s">
        <v>158</v>
      </c>
    </row>
    <row r="10" customFormat="false" ht="15" hidden="false" customHeight="false" outlineLevel="0" collapsed="false">
      <c r="A10" s="0" t="s">
        <v>159</v>
      </c>
      <c r="B10" s="0" t="n">
        <v>0.21</v>
      </c>
      <c r="C10" s="0" t="s">
        <v>152</v>
      </c>
    </row>
    <row r="11" customFormat="false" ht="15" hidden="false" customHeight="false" outlineLevel="0" collapsed="false">
      <c r="A11" s="0" t="s">
        <v>160</v>
      </c>
      <c r="B11" s="0" t="n">
        <v>0.01</v>
      </c>
      <c r="C11" s="0" t="s">
        <v>161</v>
      </c>
    </row>
    <row r="12" customFormat="false" ht="15" hidden="false" customHeight="false" outlineLevel="0" collapsed="false">
      <c r="A12" s="0" t="s">
        <v>162</v>
      </c>
      <c r="B12" s="0" t="n">
        <v>300</v>
      </c>
      <c r="C12" s="0" t="s">
        <v>163</v>
      </c>
    </row>
    <row r="14" customFormat="false" ht="15" hidden="false" customHeight="false" outlineLevel="0" collapsed="false">
      <c r="A14" s="0" t="s">
        <v>164</v>
      </c>
      <c r="B14" s="0" t="s">
        <v>165</v>
      </c>
      <c r="C14" s="0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8"/>
  </cols>
  <sheetData>
    <row r="1" customFormat="false" ht="15" hidden="false" customHeight="false" outlineLevel="0" collapsed="false">
      <c r="A1" s="18" t="s">
        <v>5</v>
      </c>
      <c r="B1" s="18" t="s">
        <v>167</v>
      </c>
      <c r="C1" s="18"/>
      <c r="D1" s="18"/>
    </row>
    <row r="2" customFormat="false" ht="15" hidden="false" customHeight="false" outlineLevel="0" collapsed="false">
      <c r="A2" s="0" t="s">
        <v>54</v>
      </c>
      <c r="B2" s="0" t="n">
        <v>1953</v>
      </c>
      <c r="C2" s="0" t="n">
        <f aca="false">ROUND(B2*(1-MargenPct),0)</f>
        <v>1719</v>
      </c>
      <c r="D2" s="0" t="n">
        <f aca="false">ROUND(B2*(1+MargenPct),0)</f>
        <v>2187</v>
      </c>
    </row>
    <row r="3" customFormat="false" ht="15" hidden="false" customHeight="false" outlineLevel="0" collapsed="false">
      <c r="A3" s="0" t="s">
        <v>168</v>
      </c>
      <c r="B3" s="0" t="n">
        <v>1951</v>
      </c>
      <c r="C3" s="0" t="n">
        <f aca="false">ROUND(B3*(1-MargenPct),0)</f>
        <v>1717</v>
      </c>
      <c r="D3" s="0" t="n">
        <f aca="false">ROUND(B3*(1+MargenPct),0)</f>
        <v>2185</v>
      </c>
    </row>
    <row r="4" customFormat="false" ht="15" hidden="false" customHeight="false" outlineLevel="0" collapsed="false">
      <c r="A4" s="0" t="s">
        <v>169</v>
      </c>
      <c r="B4" s="0" t="n">
        <v>1857</v>
      </c>
      <c r="C4" s="0" t="n">
        <f aca="false">ROUND(B4*(1-MargenPct),0)</f>
        <v>1634</v>
      </c>
      <c r="D4" s="0" t="n">
        <f aca="false">ROUND(B4*(1+MargenPct),0)</f>
        <v>2080</v>
      </c>
    </row>
    <row r="5" customFormat="false" ht="15" hidden="false" customHeight="false" outlineLevel="0" collapsed="false">
      <c r="A5" s="0" t="s">
        <v>87</v>
      </c>
      <c r="B5" s="0" t="n">
        <v>1854</v>
      </c>
      <c r="C5" s="0" t="n">
        <f aca="false">ROUND(B5*(1-MargenPct),0)</f>
        <v>1632</v>
      </c>
      <c r="D5" s="0" t="n">
        <f aca="false">ROUND(B5*(1+MargenPct),0)</f>
        <v>2076</v>
      </c>
    </row>
    <row r="6" customFormat="false" ht="15" hidden="false" customHeight="false" outlineLevel="0" collapsed="false">
      <c r="A6" s="0" t="s">
        <v>70</v>
      </c>
      <c r="B6" s="0" t="n">
        <v>1683</v>
      </c>
      <c r="C6" s="0" t="n">
        <f aca="false">ROUND(B6*(1-MargenPct),0)</f>
        <v>1481</v>
      </c>
      <c r="D6" s="0" t="n">
        <f aca="false">ROUND(B6*(1+MargenPct),0)</f>
        <v>1885</v>
      </c>
    </row>
    <row r="7" customFormat="false" ht="15" hidden="false" customHeight="false" outlineLevel="0" collapsed="false">
      <c r="A7" s="0" t="s">
        <v>41</v>
      </c>
      <c r="B7" s="0" t="n">
        <v>1750</v>
      </c>
      <c r="C7" s="0" t="n">
        <f aca="false">ROUND(B7*(1-MargenPct),0)</f>
        <v>1540</v>
      </c>
      <c r="D7" s="0" t="n">
        <f aca="false">ROUND(B7*(1+MargenPct),0)</f>
        <v>1960</v>
      </c>
    </row>
    <row r="8" customFormat="false" ht="15" hidden="false" customHeight="false" outlineLevel="0" collapsed="false">
      <c r="A8" s="0" t="s">
        <v>170</v>
      </c>
      <c r="B8" s="0" t="n">
        <v>1785</v>
      </c>
      <c r="C8" s="0" t="n">
        <f aca="false">ROUND(B8*(1-MargenPct),0)</f>
        <v>1571</v>
      </c>
      <c r="D8" s="0" t="n">
        <f aca="false">ROUND(B8*(1+MargenPct),0)</f>
        <v>1999</v>
      </c>
    </row>
    <row r="9" customFormat="false" ht="15" hidden="false" customHeight="false" outlineLevel="0" collapsed="false">
      <c r="A9" s="0" t="s">
        <v>171</v>
      </c>
      <c r="B9" s="0" t="n">
        <v>1663</v>
      </c>
      <c r="C9" s="0" t="n">
        <f aca="false">ROUND(B9*(1-MargenPct),0)</f>
        <v>1463</v>
      </c>
      <c r="D9" s="0" t="n">
        <f aca="false">ROUND(B9*(1+MargenPct),0)</f>
        <v>1863</v>
      </c>
    </row>
    <row r="10" customFormat="false" ht="15" hidden="false" customHeight="false" outlineLevel="0" collapsed="false">
      <c r="A10" s="0" t="s">
        <v>172</v>
      </c>
      <c r="B10" s="0" t="n">
        <v>1629</v>
      </c>
      <c r="C10" s="0" t="n">
        <f aca="false">ROUND(B10*(1-MargenPct),0)</f>
        <v>1434</v>
      </c>
      <c r="D10" s="0" t="n">
        <f aca="false">ROUND(B10*(1+MargenPct),0)</f>
        <v>1824</v>
      </c>
    </row>
    <row r="11" customFormat="false" ht="15" hidden="false" customHeight="false" outlineLevel="0" collapsed="false">
      <c r="A11" s="0" t="s">
        <v>116</v>
      </c>
      <c r="B11" s="0" t="n">
        <v>1897</v>
      </c>
      <c r="C11" s="0" t="n">
        <f aca="false">ROUND(B11*(1-MargenPct),0)</f>
        <v>1669</v>
      </c>
      <c r="D11" s="0" t="n">
        <f aca="false">ROUND(B11*(1+MargenPct),0)</f>
        <v>2125</v>
      </c>
    </row>
    <row r="12" customFormat="false" ht="15" hidden="false" customHeight="false" outlineLevel="0" collapsed="false">
      <c r="A12" s="0" t="s">
        <v>107</v>
      </c>
      <c r="B12" s="0" t="n">
        <v>2357</v>
      </c>
      <c r="C12" s="0" t="n">
        <f aca="false">ROUND(B12*(1-MargenPct),0)</f>
        <v>2074</v>
      </c>
      <c r="D12" s="0" t="n">
        <f aca="false">ROUND(B12*(1+MargenPct),0)</f>
        <v>2640</v>
      </c>
    </row>
    <row r="13" customFormat="false" ht="15" hidden="false" customHeight="false" outlineLevel="0" collapsed="false">
      <c r="A13" s="0" t="s">
        <v>138</v>
      </c>
      <c r="B13" s="0" t="n">
        <v>2150</v>
      </c>
      <c r="C13" s="0" t="n">
        <f aca="false">ROUND(B13*(1-MargenPct),0)</f>
        <v>1892</v>
      </c>
      <c r="D13" s="0" t="n">
        <f aca="false">ROUND(B13*(1+MargenPct),0)</f>
        <v>2408</v>
      </c>
    </row>
    <row r="14" customFormat="false" ht="15" hidden="false" customHeight="false" outlineLevel="0" collapsed="false">
      <c r="A14" s="0" t="s">
        <v>173</v>
      </c>
      <c r="B14" s="0" t="n">
        <v>2063</v>
      </c>
      <c r="C14" s="0" t="n">
        <f aca="false">ROUND(B14*(1-MargenPct),0)</f>
        <v>1815</v>
      </c>
      <c r="D14" s="0" t="n">
        <f aca="false">ROUND(B14*(1+MargenPct),0)</f>
        <v>2311</v>
      </c>
    </row>
    <row r="15" customFormat="false" ht="15" hidden="false" customHeight="false" outlineLevel="0" collapsed="false">
      <c r="A15" s="0" t="s">
        <v>174</v>
      </c>
      <c r="B15" s="0" t="n">
        <v>2348</v>
      </c>
      <c r="C15" s="0" t="n">
        <f aca="false">ROUND(B15*(1-MargenPct),0)</f>
        <v>2066</v>
      </c>
      <c r="D15" s="0" t="n">
        <f aca="false">ROUND(B15*(1+MargenPct),0)</f>
        <v>2630</v>
      </c>
    </row>
    <row r="16" customFormat="false" ht="15" hidden="false" customHeight="false" outlineLevel="0" collapsed="false">
      <c r="A16" s="0" t="s">
        <v>175</v>
      </c>
      <c r="B16" s="0" t="n">
        <v>1876</v>
      </c>
      <c r="C16" s="0" t="n">
        <f aca="false">ROUND(B16*(1-MargenPct),0)</f>
        <v>1651</v>
      </c>
      <c r="D16" s="0" t="n">
        <f aca="false">ROUND(B16*(1+MargenPct),0)</f>
        <v>2101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2025-12-12T03:23:41Z</dcterms:created>
  <dc:creator>openpyxl</dc:creator>
  <dc:description/>
  <dc:language>en-US</dc:language>
  <cp:lastModifiedBy/>
  <dcterms:modified xsi:type="dcterms:W3CDTF">2025-12-12T03:24:49Z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